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EstaPasta_de_trabalho" autoCompressPictures="0" defaultThemeVersion="124226"/>
  <bookViews>
    <workbookView xWindow="0" yWindow="0" windowWidth="28800" windowHeight="12435" tabRatio="709" firstSheet="10" activeTab="13"/>
  </bookViews>
  <sheets>
    <sheet name="Indice" sheetId="8" r:id="rId1"/>
    <sheet name="TB_ICO_TIPO_ALCADA" sheetId="32" r:id="rId2"/>
    <sheet name="TB_ICO_HIERARQUIA_UN_DELEGADA" sheetId="31" r:id="rId3"/>
    <sheet name="TB_ICO_SISTEMA" sheetId="12" r:id="rId4"/>
    <sheet name="TB_ICO_SISTEMA_PERFIL" sheetId="13" r:id="rId5"/>
    <sheet name="TB_ICO_TIPO_RECURSO_PROTEGIDO" sheetId="22" r:id="rId6"/>
    <sheet name="TB_ICO_NIVEL_HIERARQUICO" sheetId="30" r:id="rId7"/>
    <sheet name="TB_ICO_RECURSO_PROTEGIDO" sheetId="5" r:id="rId8"/>
    <sheet name="TB_SGP_STATUS_ACAO" sheetId="26" r:id="rId9"/>
    <sheet name="TB_FNX_PARAM_SISTEMA" sheetId="24" r:id="rId10"/>
    <sheet name="TB_FNX_STATUS_PREST_CONTA" sheetId="27" r:id="rId11"/>
    <sheet name="TB_FNX_TIPO_MENSAGEM" sheetId="1" r:id="rId12"/>
    <sheet name="TB_FNX_TIPO_RESOURCE_BUNDLE" sheetId="23" r:id="rId13"/>
    <sheet name="TB_FNX_MENSAGEM" sheetId="7" r:id="rId14"/>
    <sheet name="TB_FNX_RESOURCE_BUNDLE" sheetId="11" r:id="rId15"/>
    <sheet name="TB_SGP_STATUS_PAGAMENTO" sheetId="28" r:id="rId16"/>
    <sheet name="TB_FNX_STATUS_DESEMP_PROJETO" sheetId="29" r:id="rId17"/>
    <sheet name="TB_FNX_TIPO_PROCESSO" sheetId="34" r:id="rId18"/>
    <sheet name="TB_FNX_TIPO_ROLE" sheetId="36" r:id="rId19"/>
    <sheet name="TB_FNX_PROCESSO_ROLE" sheetId="38" r:id="rId20"/>
  </sheets>
  <functionGroups builtInGroupCount="18"/>
  <calcPr calcId="152511" iterateDelta="1E-4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6" i="7" l="1"/>
  <c r="I276" i="7"/>
  <c r="C276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C274" i="7"/>
  <c r="G146" i="5"/>
  <c r="G147" i="5"/>
  <c r="D146" i="5"/>
  <c r="D147" i="5"/>
  <c r="A146" i="5"/>
  <c r="A147" i="5"/>
  <c r="H275" i="7"/>
  <c r="I275" i="7"/>
  <c r="C275" i="7"/>
  <c r="I605" i="11"/>
  <c r="H605" i="11"/>
  <c r="D605" i="11"/>
  <c r="A605" i="11"/>
  <c r="I603" i="11"/>
  <c r="I604" i="11"/>
  <c r="H603" i="11"/>
  <c r="H604" i="11"/>
  <c r="D603" i="11"/>
  <c r="D604" i="11"/>
  <c r="A603" i="11"/>
  <c r="A604" i="11"/>
  <c r="I602" i="11"/>
  <c r="H602" i="11"/>
  <c r="I601" i="11"/>
  <c r="H601" i="11"/>
  <c r="D602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D601" i="11"/>
  <c r="H274" i="7"/>
  <c r="I274" i="7"/>
  <c r="I273" i="7"/>
  <c r="I272" i="7"/>
  <c r="I271" i="7"/>
  <c r="I270" i="7"/>
  <c r="I269" i="7"/>
  <c r="I268" i="7"/>
  <c r="I267" i="7"/>
  <c r="I266" i="7"/>
  <c r="I265" i="7"/>
  <c r="I264" i="7"/>
  <c r="I263" i="7"/>
  <c r="I262" i="7"/>
  <c r="I261" i="7"/>
  <c r="I260" i="7"/>
  <c r="I259" i="7"/>
  <c r="I258" i="7"/>
  <c r="I257" i="7"/>
  <c r="I256" i="7"/>
  <c r="I255" i="7"/>
  <c r="I254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I221" i="7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26" i="7"/>
  <c r="I125" i="7"/>
  <c r="I124" i="7"/>
  <c r="I123" i="7"/>
  <c r="I122" i="7"/>
  <c r="I121" i="7"/>
  <c r="I120" i="7"/>
  <c r="I119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H273" i="7"/>
  <c r="C273" i="7"/>
  <c r="H272" i="7"/>
  <c r="C272" i="7"/>
  <c r="H271" i="7"/>
  <c r="C271" i="7"/>
  <c r="H270" i="7"/>
  <c r="C270" i="7"/>
  <c r="H269" i="7"/>
  <c r="C269" i="7"/>
  <c r="H268" i="7"/>
  <c r="C268" i="7"/>
  <c r="I600" i="11"/>
  <c r="H600" i="11"/>
  <c r="D600" i="11"/>
  <c r="I599" i="11"/>
  <c r="H599" i="11"/>
  <c r="D599" i="11"/>
  <c r="I598" i="11"/>
  <c r="H598" i="11"/>
  <c r="D598" i="11"/>
  <c r="I597" i="11"/>
  <c r="H597" i="11"/>
  <c r="D597" i="11"/>
  <c r="I596" i="11"/>
  <c r="H596" i="11"/>
  <c r="D596" i="11"/>
  <c r="I595" i="11"/>
  <c r="H595" i="11"/>
  <c r="D595" i="11"/>
  <c r="I594" i="11"/>
  <c r="H594" i="11"/>
  <c r="D594" i="11"/>
  <c r="I593" i="11"/>
  <c r="H593" i="11"/>
  <c r="D593" i="11"/>
  <c r="I592" i="11"/>
  <c r="H592" i="11"/>
  <c r="D592" i="11"/>
  <c r="I591" i="11"/>
  <c r="H591" i="11"/>
  <c r="D591" i="11"/>
  <c r="I590" i="11"/>
  <c r="H590" i="11"/>
  <c r="D590" i="11"/>
  <c r="I589" i="11"/>
  <c r="H589" i="11"/>
  <c r="D589" i="11"/>
  <c r="I588" i="11"/>
  <c r="H588" i="11"/>
  <c r="D588" i="11"/>
  <c r="I587" i="11"/>
  <c r="H587" i="11"/>
  <c r="D587" i="11"/>
  <c r="I586" i="11"/>
  <c r="H586" i="11"/>
  <c r="D586" i="11"/>
  <c r="I585" i="11"/>
  <c r="H585" i="11"/>
  <c r="D585" i="11"/>
  <c r="I584" i="11"/>
  <c r="H584" i="11"/>
  <c r="D584" i="11"/>
  <c r="I583" i="11"/>
  <c r="H583" i="11"/>
  <c r="D583" i="11"/>
  <c r="I582" i="11"/>
  <c r="H582" i="11"/>
  <c r="D582" i="11"/>
  <c r="I581" i="11"/>
  <c r="H581" i="11"/>
  <c r="D581" i="11"/>
  <c r="I571" i="11"/>
  <c r="I580" i="11"/>
  <c r="H580" i="11"/>
  <c r="D580" i="11"/>
  <c r="I579" i="11"/>
  <c r="H579" i="11"/>
  <c r="D579" i="11"/>
  <c r="I578" i="11"/>
  <c r="H578" i="11"/>
  <c r="D578" i="11"/>
  <c r="I577" i="11"/>
  <c r="H577" i="11"/>
  <c r="D577" i="11"/>
  <c r="I576" i="11"/>
  <c r="H576" i="11"/>
  <c r="D576" i="11"/>
  <c r="I575" i="11"/>
  <c r="H575" i="11"/>
  <c r="D575" i="11"/>
  <c r="I574" i="11"/>
  <c r="H574" i="11"/>
  <c r="D574" i="11"/>
  <c r="I573" i="11"/>
  <c r="H573" i="11"/>
  <c r="D573" i="11"/>
  <c r="I572" i="11"/>
  <c r="H572" i="11"/>
  <c r="D572" i="11"/>
  <c r="H571" i="11"/>
  <c r="D571" i="11"/>
  <c r="I570" i="11"/>
  <c r="H570" i="11"/>
  <c r="D570" i="11"/>
  <c r="I569" i="11"/>
  <c r="H569" i="11"/>
  <c r="D569" i="11"/>
  <c r="H267" i="7"/>
  <c r="H266" i="7"/>
  <c r="H265" i="7"/>
  <c r="H264" i="7"/>
  <c r="H263" i="7"/>
  <c r="H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H241" i="7"/>
  <c r="H240" i="7"/>
  <c r="H239" i="7"/>
  <c r="H238" i="7"/>
  <c r="H237" i="7"/>
  <c r="H236" i="7"/>
  <c r="H235" i="7"/>
  <c r="H234" i="7"/>
  <c r="H233" i="7"/>
  <c r="H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H8" i="11"/>
  <c r="I8" i="11"/>
  <c r="H9" i="11"/>
  <c r="I9" i="11"/>
  <c r="H10" i="11"/>
  <c r="I10" i="11"/>
  <c r="H11" i="11"/>
  <c r="I11" i="11"/>
  <c r="H12" i="11"/>
  <c r="I12" i="11"/>
  <c r="H13" i="11"/>
  <c r="I13" i="11"/>
  <c r="H14" i="11"/>
  <c r="I14" i="11"/>
  <c r="H15" i="11"/>
  <c r="I15" i="11"/>
  <c r="H16" i="11"/>
  <c r="I16" i="11"/>
  <c r="H17" i="11"/>
  <c r="I17" i="11"/>
  <c r="H18" i="11"/>
  <c r="I18" i="11"/>
  <c r="H19" i="11"/>
  <c r="I19" i="11"/>
  <c r="H20" i="11"/>
  <c r="I20" i="11"/>
  <c r="H21" i="11"/>
  <c r="I21" i="11"/>
  <c r="H22" i="11"/>
  <c r="I22" i="11"/>
  <c r="H23" i="11"/>
  <c r="I23" i="11"/>
  <c r="H24" i="11"/>
  <c r="I24" i="11"/>
  <c r="H25" i="11"/>
  <c r="I25" i="11"/>
  <c r="H26" i="11"/>
  <c r="I26" i="11"/>
  <c r="H27" i="11"/>
  <c r="I27" i="11"/>
  <c r="H28" i="11"/>
  <c r="I28" i="11"/>
  <c r="H29" i="11"/>
  <c r="I29" i="11"/>
  <c r="H30" i="11"/>
  <c r="I30" i="11"/>
  <c r="H31" i="11"/>
  <c r="I31" i="11"/>
  <c r="H32" i="11"/>
  <c r="I32" i="11"/>
  <c r="H33" i="11"/>
  <c r="I33" i="11"/>
  <c r="H34" i="11"/>
  <c r="I34" i="11"/>
  <c r="H35" i="11"/>
  <c r="I35" i="11"/>
  <c r="H36" i="11"/>
  <c r="I36" i="11"/>
  <c r="H37" i="11"/>
  <c r="I37" i="11"/>
  <c r="H38" i="11"/>
  <c r="I38" i="11"/>
  <c r="H39" i="11"/>
  <c r="I39" i="11"/>
  <c r="H40" i="11"/>
  <c r="I40" i="11"/>
  <c r="H41" i="11"/>
  <c r="I41" i="11"/>
  <c r="H42" i="11"/>
  <c r="I42" i="11"/>
  <c r="H43" i="11"/>
  <c r="I43" i="11"/>
  <c r="H44" i="11"/>
  <c r="I44" i="11"/>
  <c r="H45" i="11"/>
  <c r="I45" i="11"/>
  <c r="H46" i="11"/>
  <c r="I46" i="11"/>
  <c r="H47" i="11"/>
  <c r="I47" i="11"/>
  <c r="H48" i="11"/>
  <c r="I48" i="11"/>
  <c r="H49" i="11"/>
  <c r="I49" i="11"/>
  <c r="H50" i="11"/>
  <c r="I50" i="11"/>
  <c r="H51" i="11"/>
  <c r="I51" i="11"/>
  <c r="H52" i="11"/>
  <c r="I52" i="11"/>
  <c r="H53" i="11"/>
  <c r="I53" i="11"/>
  <c r="H54" i="11"/>
  <c r="I54" i="11"/>
  <c r="H55" i="11"/>
  <c r="I55" i="11"/>
  <c r="H56" i="11"/>
  <c r="I56" i="11"/>
  <c r="H57" i="11"/>
  <c r="I57" i="11"/>
  <c r="H58" i="11"/>
  <c r="I58" i="11"/>
  <c r="H59" i="11"/>
  <c r="I59" i="11"/>
  <c r="H60" i="11"/>
  <c r="I60" i="11"/>
  <c r="H61" i="11"/>
  <c r="I61" i="11"/>
  <c r="H62" i="11"/>
  <c r="I62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H86" i="11"/>
  <c r="I86" i="11"/>
  <c r="H87" i="11"/>
  <c r="I87" i="11"/>
  <c r="H88" i="11"/>
  <c r="I88" i="11"/>
  <c r="H89" i="11"/>
  <c r="I89" i="11"/>
  <c r="H90" i="11"/>
  <c r="I90" i="11"/>
  <c r="H91" i="11"/>
  <c r="I91" i="11"/>
  <c r="H92" i="11"/>
  <c r="I92" i="11"/>
  <c r="H93" i="11"/>
  <c r="I93" i="11"/>
  <c r="H94" i="11"/>
  <c r="I94" i="11"/>
  <c r="H95" i="11"/>
  <c r="I95" i="11"/>
  <c r="H96" i="11"/>
  <c r="I96" i="11"/>
  <c r="H97" i="11"/>
  <c r="I97" i="11"/>
  <c r="H98" i="11"/>
  <c r="I98" i="11"/>
  <c r="H99" i="11"/>
  <c r="I99" i="11"/>
  <c r="H100" i="11"/>
  <c r="I100" i="11"/>
  <c r="H101" i="11"/>
  <c r="I101" i="11"/>
  <c r="H102" i="11"/>
  <c r="I102" i="11"/>
  <c r="H103" i="11"/>
  <c r="I103" i="11"/>
  <c r="H104" i="11"/>
  <c r="I104" i="11"/>
  <c r="H105" i="11"/>
  <c r="I105" i="11"/>
  <c r="H106" i="11"/>
  <c r="I106" i="11"/>
  <c r="H107" i="11"/>
  <c r="I107" i="11"/>
  <c r="H108" i="11"/>
  <c r="I108" i="11"/>
  <c r="H109" i="11"/>
  <c r="I109" i="11"/>
  <c r="H110" i="11"/>
  <c r="I110" i="11"/>
  <c r="H111" i="11"/>
  <c r="I111" i="11"/>
  <c r="H112" i="11"/>
  <c r="I112" i="11"/>
  <c r="H113" i="11"/>
  <c r="I113" i="11"/>
  <c r="H114" i="11"/>
  <c r="I114" i="11"/>
  <c r="H115" i="11"/>
  <c r="I115" i="11"/>
  <c r="H116" i="11"/>
  <c r="I116" i="11"/>
  <c r="H117" i="11"/>
  <c r="I117" i="11"/>
  <c r="H118" i="11"/>
  <c r="I118" i="11"/>
  <c r="H119" i="11"/>
  <c r="I119" i="11"/>
  <c r="H120" i="11"/>
  <c r="I120" i="11"/>
  <c r="H121" i="11"/>
  <c r="I121" i="11"/>
  <c r="H122" i="11"/>
  <c r="I122" i="11"/>
  <c r="H123" i="11"/>
  <c r="I123" i="11"/>
  <c r="H124" i="11"/>
  <c r="I124" i="11"/>
  <c r="H125" i="11"/>
  <c r="I125" i="11"/>
  <c r="H126" i="11"/>
  <c r="I126" i="11"/>
  <c r="H127" i="11"/>
  <c r="I127" i="11"/>
  <c r="H128" i="11"/>
  <c r="I128" i="11"/>
  <c r="H129" i="11"/>
  <c r="I129" i="11"/>
  <c r="H130" i="11"/>
  <c r="I130" i="11"/>
  <c r="H131" i="11"/>
  <c r="I131" i="11"/>
  <c r="H132" i="11"/>
  <c r="I132" i="11"/>
  <c r="H133" i="11"/>
  <c r="I133" i="11"/>
  <c r="H134" i="11"/>
  <c r="I134" i="11"/>
  <c r="H135" i="11"/>
  <c r="I135" i="11"/>
  <c r="H136" i="11"/>
  <c r="I136" i="11"/>
  <c r="H137" i="11"/>
  <c r="I137" i="11"/>
  <c r="H138" i="11"/>
  <c r="I138" i="11"/>
  <c r="H139" i="11"/>
  <c r="I139" i="11"/>
  <c r="H140" i="11"/>
  <c r="I140" i="11"/>
  <c r="H141" i="11"/>
  <c r="I141" i="11"/>
  <c r="H142" i="11"/>
  <c r="I142" i="11"/>
  <c r="H143" i="11"/>
  <c r="I143" i="11"/>
  <c r="H144" i="11"/>
  <c r="I144" i="11"/>
  <c r="H145" i="11"/>
  <c r="I145" i="11"/>
  <c r="H146" i="11"/>
  <c r="I146" i="11"/>
  <c r="H147" i="11"/>
  <c r="I147" i="11"/>
  <c r="H148" i="11"/>
  <c r="I148" i="11"/>
  <c r="H149" i="11"/>
  <c r="I149" i="11"/>
  <c r="H150" i="11"/>
  <c r="I150" i="11"/>
  <c r="H151" i="11"/>
  <c r="I151" i="11"/>
  <c r="H152" i="11"/>
  <c r="I152" i="11"/>
  <c r="H153" i="11"/>
  <c r="I153" i="11"/>
  <c r="H154" i="11"/>
  <c r="I154" i="11"/>
  <c r="H155" i="11"/>
  <c r="I155" i="11"/>
  <c r="H156" i="11"/>
  <c r="I156" i="11"/>
  <c r="H157" i="11"/>
  <c r="I157" i="11"/>
  <c r="H158" i="11"/>
  <c r="I158" i="11"/>
  <c r="H159" i="11"/>
  <c r="I159" i="11"/>
  <c r="H160" i="11"/>
  <c r="I160" i="11"/>
  <c r="H161" i="11"/>
  <c r="I161" i="11"/>
  <c r="H162" i="11"/>
  <c r="I162" i="11"/>
  <c r="H163" i="11"/>
  <c r="I163" i="11"/>
  <c r="H164" i="11"/>
  <c r="I164" i="11"/>
  <c r="H165" i="11"/>
  <c r="I165" i="11"/>
  <c r="H166" i="11"/>
  <c r="I166" i="11"/>
  <c r="H167" i="11"/>
  <c r="I167" i="11"/>
  <c r="H168" i="11"/>
  <c r="I168" i="11"/>
  <c r="H169" i="11"/>
  <c r="I169" i="11"/>
  <c r="H170" i="11"/>
  <c r="I170" i="11"/>
  <c r="H171" i="11"/>
  <c r="I171" i="11"/>
  <c r="H172" i="11"/>
  <c r="I172" i="11"/>
  <c r="H173" i="11"/>
  <c r="I173" i="11"/>
  <c r="H174" i="11"/>
  <c r="I174" i="11"/>
  <c r="H175" i="11"/>
  <c r="I175" i="11"/>
  <c r="H176" i="11"/>
  <c r="I176" i="11"/>
  <c r="H177" i="11"/>
  <c r="I177" i="11"/>
  <c r="H178" i="11"/>
  <c r="I178" i="11"/>
  <c r="H179" i="11"/>
  <c r="I179" i="11"/>
  <c r="H180" i="11"/>
  <c r="I180" i="11"/>
  <c r="H181" i="11"/>
  <c r="I181" i="11"/>
  <c r="H182" i="11"/>
  <c r="I182" i="11"/>
  <c r="H183" i="11"/>
  <c r="I183" i="11"/>
  <c r="H184" i="11"/>
  <c r="I184" i="11"/>
  <c r="H185" i="11"/>
  <c r="I185" i="11"/>
  <c r="H186" i="11"/>
  <c r="I186" i="11"/>
  <c r="H187" i="11"/>
  <c r="I187" i="11"/>
  <c r="H188" i="11"/>
  <c r="I188" i="11"/>
  <c r="H189" i="11"/>
  <c r="I189" i="11"/>
  <c r="H190" i="11"/>
  <c r="I190" i="11"/>
  <c r="H191" i="11"/>
  <c r="I191" i="11"/>
  <c r="H192" i="11"/>
  <c r="I192" i="11"/>
  <c r="H193" i="11"/>
  <c r="I193" i="11"/>
  <c r="H194" i="11"/>
  <c r="I194" i="11"/>
  <c r="H195" i="11"/>
  <c r="I195" i="11"/>
  <c r="H196" i="11"/>
  <c r="I196" i="11"/>
  <c r="H197" i="11"/>
  <c r="I197" i="11"/>
  <c r="H198" i="11"/>
  <c r="I198" i="11"/>
  <c r="H199" i="11"/>
  <c r="I199" i="11"/>
  <c r="H200" i="11"/>
  <c r="I200" i="11"/>
  <c r="H201" i="11"/>
  <c r="I201" i="11"/>
  <c r="H202" i="11"/>
  <c r="I202" i="11"/>
  <c r="H203" i="11"/>
  <c r="I203" i="11"/>
  <c r="H204" i="11"/>
  <c r="I204" i="11"/>
  <c r="H205" i="11"/>
  <c r="I205" i="11"/>
  <c r="H206" i="11"/>
  <c r="I206" i="11"/>
  <c r="H207" i="11"/>
  <c r="I207" i="11"/>
  <c r="H208" i="11"/>
  <c r="I208" i="11"/>
  <c r="H209" i="11"/>
  <c r="I209" i="11"/>
  <c r="H210" i="11"/>
  <c r="I210" i="11"/>
  <c r="H211" i="11"/>
  <c r="I211" i="11"/>
  <c r="H212" i="11"/>
  <c r="I212" i="11"/>
  <c r="H213" i="11"/>
  <c r="I213" i="11"/>
  <c r="H214" i="11"/>
  <c r="I214" i="11"/>
  <c r="H215" i="11"/>
  <c r="I215" i="11"/>
  <c r="H216" i="11"/>
  <c r="I216" i="11"/>
  <c r="H217" i="11"/>
  <c r="I217" i="11"/>
  <c r="H218" i="11"/>
  <c r="I218" i="11"/>
  <c r="H219" i="11"/>
  <c r="I219" i="11"/>
  <c r="H220" i="11"/>
  <c r="I220" i="11"/>
  <c r="H221" i="11"/>
  <c r="I221" i="11"/>
  <c r="H222" i="11"/>
  <c r="I222" i="11"/>
  <c r="H223" i="11"/>
  <c r="I223" i="11"/>
  <c r="H224" i="11"/>
  <c r="I224" i="11"/>
  <c r="H225" i="11"/>
  <c r="I225" i="11"/>
  <c r="H226" i="11"/>
  <c r="I226" i="11"/>
  <c r="H227" i="11"/>
  <c r="I227" i="11"/>
  <c r="H228" i="11"/>
  <c r="I228" i="11"/>
  <c r="H229" i="11"/>
  <c r="I229" i="11"/>
  <c r="H230" i="11"/>
  <c r="I230" i="11"/>
  <c r="H231" i="11"/>
  <c r="I231" i="11"/>
  <c r="H232" i="11"/>
  <c r="I232" i="11"/>
  <c r="H233" i="11"/>
  <c r="I233" i="11"/>
  <c r="H234" i="11"/>
  <c r="I234" i="11"/>
  <c r="H235" i="11"/>
  <c r="I235" i="11"/>
  <c r="H236" i="11"/>
  <c r="I236" i="11"/>
  <c r="H237" i="11"/>
  <c r="I237" i="11"/>
  <c r="H238" i="11"/>
  <c r="I238" i="11"/>
  <c r="H239" i="11"/>
  <c r="I239" i="11"/>
  <c r="H240" i="11"/>
  <c r="I240" i="11"/>
  <c r="H241" i="11"/>
  <c r="I241" i="11"/>
  <c r="H242" i="11"/>
  <c r="I242" i="11"/>
  <c r="H243" i="11"/>
  <c r="I243" i="11"/>
  <c r="H244" i="11"/>
  <c r="I244" i="11"/>
  <c r="H245" i="11"/>
  <c r="I245" i="11"/>
  <c r="H246" i="11"/>
  <c r="I246" i="11"/>
  <c r="H247" i="11"/>
  <c r="I247" i="11"/>
  <c r="H248" i="11"/>
  <c r="I248" i="11"/>
  <c r="H249" i="11"/>
  <c r="I249" i="11"/>
  <c r="H250" i="11"/>
  <c r="I250" i="11"/>
  <c r="H251" i="11"/>
  <c r="I251" i="11"/>
  <c r="H252" i="11"/>
  <c r="I252" i="11"/>
  <c r="H253" i="11"/>
  <c r="I253" i="11"/>
  <c r="H254" i="11"/>
  <c r="I254" i="11"/>
  <c r="H255" i="11"/>
  <c r="I255" i="11"/>
  <c r="H256" i="11"/>
  <c r="I256" i="11"/>
  <c r="H257" i="11"/>
  <c r="I257" i="11"/>
  <c r="H258" i="11"/>
  <c r="I258" i="11"/>
  <c r="H259" i="11"/>
  <c r="I259" i="11"/>
  <c r="H260" i="11"/>
  <c r="I260" i="11"/>
  <c r="H261" i="11"/>
  <c r="I261" i="11"/>
  <c r="H262" i="11"/>
  <c r="I262" i="11"/>
  <c r="H263" i="11"/>
  <c r="I263" i="11"/>
  <c r="H264" i="11"/>
  <c r="I264" i="11"/>
  <c r="H265" i="11"/>
  <c r="I265" i="11"/>
  <c r="H266" i="11"/>
  <c r="I266" i="11"/>
  <c r="H267" i="11"/>
  <c r="I267" i="11"/>
  <c r="H268" i="11"/>
  <c r="I268" i="11"/>
  <c r="H269" i="11"/>
  <c r="I269" i="11"/>
  <c r="H270" i="11"/>
  <c r="I270" i="11"/>
  <c r="H271" i="11"/>
  <c r="I271" i="11"/>
  <c r="H272" i="11"/>
  <c r="I272" i="11"/>
  <c r="H273" i="11"/>
  <c r="I273" i="11"/>
  <c r="H274" i="11"/>
  <c r="I274" i="11"/>
  <c r="H275" i="11"/>
  <c r="I275" i="11"/>
  <c r="H276" i="11"/>
  <c r="I276" i="11"/>
  <c r="H277" i="11"/>
  <c r="I277" i="11"/>
  <c r="H278" i="11"/>
  <c r="I278" i="11"/>
  <c r="H279" i="11"/>
  <c r="I279" i="11"/>
  <c r="H280" i="11"/>
  <c r="I280" i="11"/>
  <c r="H281" i="11"/>
  <c r="I281" i="11"/>
  <c r="H282" i="11"/>
  <c r="I282" i="11"/>
  <c r="H283" i="11"/>
  <c r="I283" i="11"/>
  <c r="H284" i="11"/>
  <c r="I284" i="11"/>
  <c r="H285" i="11"/>
  <c r="I285" i="11"/>
  <c r="H286" i="11"/>
  <c r="I286" i="11"/>
  <c r="H287" i="11"/>
  <c r="I287" i="11"/>
  <c r="H288" i="11"/>
  <c r="I288" i="11"/>
  <c r="H289" i="11"/>
  <c r="I289" i="11"/>
  <c r="H290" i="11"/>
  <c r="I290" i="11"/>
  <c r="H291" i="11"/>
  <c r="I291" i="11"/>
  <c r="H292" i="11"/>
  <c r="I292" i="11"/>
  <c r="H293" i="11"/>
  <c r="I293" i="11"/>
  <c r="H294" i="11"/>
  <c r="I294" i="11"/>
  <c r="H295" i="11"/>
  <c r="I295" i="11"/>
  <c r="H296" i="11"/>
  <c r="I296" i="11"/>
  <c r="H297" i="11"/>
  <c r="I297" i="11"/>
  <c r="H298" i="11"/>
  <c r="I298" i="11"/>
  <c r="H299" i="11"/>
  <c r="I299" i="11"/>
  <c r="H300" i="11"/>
  <c r="I300" i="11"/>
  <c r="H301" i="11"/>
  <c r="I301" i="11"/>
  <c r="H302" i="11"/>
  <c r="I302" i="11"/>
  <c r="H303" i="11"/>
  <c r="I303" i="11"/>
  <c r="H304" i="11"/>
  <c r="I304" i="11"/>
  <c r="H305" i="11"/>
  <c r="I305" i="11"/>
  <c r="H306" i="11"/>
  <c r="I306" i="11"/>
  <c r="H307" i="11"/>
  <c r="I307" i="11"/>
  <c r="H308" i="11"/>
  <c r="I308" i="11"/>
  <c r="H309" i="11"/>
  <c r="I309" i="11"/>
  <c r="H310" i="11"/>
  <c r="I310" i="11"/>
  <c r="H311" i="11"/>
  <c r="I311" i="11"/>
  <c r="H312" i="11"/>
  <c r="I312" i="11"/>
  <c r="H313" i="11"/>
  <c r="I313" i="11"/>
  <c r="H314" i="11"/>
  <c r="I314" i="11"/>
  <c r="H315" i="11"/>
  <c r="I315" i="11"/>
  <c r="H316" i="11"/>
  <c r="I316" i="11"/>
  <c r="H317" i="11"/>
  <c r="I317" i="11"/>
  <c r="H318" i="11"/>
  <c r="I318" i="11"/>
  <c r="H319" i="11"/>
  <c r="I319" i="11"/>
  <c r="H320" i="11"/>
  <c r="I320" i="11"/>
  <c r="H321" i="11"/>
  <c r="I321" i="11"/>
  <c r="H322" i="11"/>
  <c r="I322" i="11"/>
  <c r="H323" i="11"/>
  <c r="I323" i="11"/>
  <c r="H324" i="11"/>
  <c r="I324" i="11"/>
  <c r="H325" i="11"/>
  <c r="I325" i="11"/>
  <c r="H326" i="11"/>
  <c r="I326" i="11"/>
  <c r="H327" i="11"/>
  <c r="I327" i="11"/>
  <c r="H328" i="11"/>
  <c r="I328" i="11"/>
  <c r="H329" i="11"/>
  <c r="I329" i="11"/>
  <c r="H330" i="11"/>
  <c r="I330" i="11"/>
  <c r="H331" i="11"/>
  <c r="I331" i="11"/>
  <c r="H332" i="11"/>
  <c r="I332" i="11"/>
  <c r="H333" i="11"/>
  <c r="I333" i="11"/>
  <c r="H334" i="11"/>
  <c r="I334" i="11"/>
  <c r="H335" i="11"/>
  <c r="I335" i="11"/>
  <c r="H336" i="11"/>
  <c r="I336" i="11"/>
  <c r="H337" i="11"/>
  <c r="I337" i="11"/>
  <c r="H338" i="11"/>
  <c r="I338" i="11"/>
  <c r="H339" i="11"/>
  <c r="I339" i="11"/>
  <c r="H340" i="11"/>
  <c r="I340" i="11"/>
  <c r="H341" i="11"/>
  <c r="I341" i="11"/>
  <c r="H342" i="11"/>
  <c r="I342" i="11"/>
  <c r="H343" i="11"/>
  <c r="I343" i="11"/>
  <c r="H344" i="11"/>
  <c r="I344" i="11"/>
  <c r="H345" i="11"/>
  <c r="I345" i="11"/>
  <c r="H346" i="11"/>
  <c r="I346" i="11"/>
  <c r="H347" i="11"/>
  <c r="I347" i="11"/>
  <c r="H348" i="11"/>
  <c r="I348" i="11"/>
  <c r="H349" i="11"/>
  <c r="I349" i="11"/>
  <c r="H350" i="11"/>
  <c r="I350" i="11"/>
  <c r="H351" i="11"/>
  <c r="I351" i="11"/>
  <c r="H352" i="11"/>
  <c r="I352" i="11"/>
  <c r="H353" i="11"/>
  <c r="I353" i="11"/>
  <c r="H354" i="11"/>
  <c r="I354" i="11"/>
  <c r="H355" i="11"/>
  <c r="I355" i="11"/>
  <c r="H356" i="11"/>
  <c r="I356" i="11"/>
  <c r="H357" i="11"/>
  <c r="I357" i="11"/>
  <c r="H358" i="11"/>
  <c r="I358" i="11"/>
  <c r="H359" i="11"/>
  <c r="I359" i="11"/>
  <c r="H360" i="11"/>
  <c r="I360" i="11"/>
  <c r="H361" i="11"/>
  <c r="I361" i="11"/>
  <c r="H362" i="11"/>
  <c r="I362" i="11"/>
  <c r="H363" i="11"/>
  <c r="I363" i="11"/>
  <c r="H364" i="11"/>
  <c r="I364" i="11"/>
  <c r="H365" i="11"/>
  <c r="I365" i="11"/>
  <c r="H366" i="11"/>
  <c r="I366" i="11"/>
  <c r="H367" i="11"/>
  <c r="I367" i="11"/>
  <c r="H368" i="11"/>
  <c r="I368" i="11"/>
  <c r="H369" i="11"/>
  <c r="I369" i="11"/>
  <c r="H370" i="11"/>
  <c r="I370" i="11"/>
  <c r="H371" i="11"/>
  <c r="I371" i="11"/>
  <c r="H372" i="11"/>
  <c r="I372" i="11"/>
  <c r="H373" i="11"/>
  <c r="I373" i="11"/>
  <c r="H374" i="11"/>
  <c r="I374" i="11"/>
  <c r="H375" i="11"/>
  <c r="I375" i="11"/>
  <c r="H376" i="11"/>
  <c r="I376" i="11"/>
  <c r="H377" i="11"/>
  <c r="I377" i="11"/>
  <c r="H378" i="11"/>
  <c r="I378" i="11"/>
  <c r="H379" i="11"/>
  <c r="I379" i="11"/>
  <c r="H380" i="11"/>
  <c r="I380" i="11"/>
  <c r="H381" i="11"/>
  <c r="I381" i="11"/>
  <c r="H382" i="11"/>
  <c r="I382" i="11"/>
  <c r="H383" i="11"/>
  <c r="I383" i="11"/>
  <c r="H384" i="11"/>
  <c r="I384" i="11"/>
  <c r="H385" i="11"/>
  <c r="I385" i="11"/>
  <c r="H386" i="11"/>
  <c r="I386" i="11"/>
  <c r="H387" i="11"/>
  <c r="I387" i="11"/>
  <c r="H388" i="11"/>
  <c r="I388" i="11"/>
  <c r="H389" i="11"/>
  <c r="I389" i="11"/>
  <c r="H390" i="11"/>
  <c r="I390" i="11"/>
  <c r="H391" i="11"/>
  <c r="I391" i="11"/>
  <c r="H392" i="11"/>
  <c r="I392" i="11"/>
  <c r="H393" i="11"/>
  <c r="I393" i="11"/>
  <c r="H394" i="11"/>
  <c r="I394" i="11"/>
  <c r="H395" i="11"/>
  <c r="I395" i="11"/>
  <c r="H396" i="11"/>
  <c r="I396" i="11"/>
  <c r="H397" i="11"/>
  <c r="I397" i="11"/>
  <c r="H398" i="11"/>
  <c r="I398" i="11"/>
  <c r="H399" i="11"/>
  <c r="I399" i="11"/>
  <c r="H400" i="11"/>
  <c r="I400" i="11"/>
  <c r="H401" i="11"/>
  <c r="I401" i="11"/>
  <c r="H402" i="11"/>
  <c r="I402" i="11"/>
  <c r="H403" i="11"/>
  <c r="I403" i="11"/>
  <c r="H404" i="11"/>
  <c r="I404" i="11"/>
  <c r="H405" i="11"/>
  <c r="I405" i="11"/>
  <c r="H406" i="11"/>
  <c r="I406" i="11"/>
  <c r="H407" i="11"/>
  <c r="I407" i="11"/>
  <c r="H408" i="11"/>
  <c r="I408" i="11"/>
  <c r="H409" i="11"/>
  <c r="I409" i="11"/>
  <c r="H410" i="11"/>
  <c r="I410" i="11"/>
  <c r="H411" i="11"/>
  <c r="I411" i="11"/>
  <c r="H412" i="11"/>
  <c r="I412" i="11"/>
  <c r="H413" i="11"/>
  <c r="I413" i="11"/>
  <c r="H414" i="11"/>
  <c r="I414" i="11"/>
  <c r="H415" i="11"/>
  <c r="I415" i="11"/>
  <c r="H416" i="11"/>
  <c r="I416" i="11"/>
  <c r="H417" i="11"/>
  <c r="I417" i="11"/>
  <c r="H418" i="11"/>
  <c r="I418" i="11"/>
  <c r="H419" i="11"/>
  <c r="I419" i="11"/>
  <c r="H420" i="11"/>
  <c r="I420" i="11"/>
  <c r="H421" i="11"/>
  <c r="I421" i="11"/>
  <c r="H422" i="11"/>
  <c r="I422" i="11"/>
  <c r="H423" i="11"/>
  <c r="I423" i="11"/>
  <c r="H424" i="11"/>
  <c r="I424" i="11"/>
  <c r="H425" i="11"/>
  <c r="I425" i="11"/>
  <c r="H426" i="11"/>
  <c r="I426" i="11"/>
  <c r="H427" i="11"/>
  <c r="I427" i="11"/>
  <c r="H428" i="11"/>
  <c r="I428" i="11"/>
  <c r="H429" i="11"/>
  <c r="I429" i="11"/>
  <c r="H430" i="11"/>
  <c r="I430" i="11"/>
  <c r="H431" i="11"/>
  <c r="I431" i="11"/>
  <c r="H432" i="11"/>
  <c r="I432" i="11"/>
  <c r="H433" i="11"/>
  <c r="I433" i="11"/>
  <c r="H434" i="11"/>
  <c r="I434" i="11"/>
  <c r="H435" i="11"/>
  <c r="I435" i="11"/>
  <c r="H436" i="11"/>
  <c r="I436" i="11"/>
  <c r="H437" i="11"/>
  <c r="I437" i="11"/>
  <c r="H438" i="11"/>
  <c r="I438" i="11"/>
  <c r="H439" i="11"/>
  <c r="I439" i="11"/>
  <c r="H440" i="11"/>
  <c r="I440" i="11"/>
  <c r="H441" i="11"/>
  <c r="I441" i="11"/>
  <c r="H442" i="11"/>
  <c r="I442" i="11"/>
  <c r="H443" i="11"/>
  <c r="I443" i="11"/>
  <c r="H444" i="11"/>
  <c r="I444" i="11"/>
  <c r="H445" i="11"/>
  <c r="I445" i="11"/>
  <c r="H446" i="11"/>
  <c r="I446" i="11"/>
  <c r="H447" i="11"/>
  <c r="I447" i="11"/>
  <c r="H448" i="11"/>
  <c r="I448" i="11"/>
  <c r="H449" i="11"/>
  <c r="I449" i="11"/>
  <c r="H450" i="11"/>
  <c r="I450" i="11"/>
  <c r="H451" i="11"/>
  <c r="I451" i="11"/>
  <c r="H452" i="11"/>
  <c r="I452" i="11"/>
  <c r="H453" i="11"/>
  <c r="I453" i="11"/>
  <c r="H454" i="11"/>
  <c r="I454" i="11"/>
  <c r="H455" i="11"/>
  <c r="I455" i="11"/>
  <c r="H456" i="11"/>
  <c r="I456" i="11"/>
  <c r="H457" i="11"/>
  <c r="I457" i="11"/>
  <c r="H458" i="11"/>
  <c r="I458" i="11"/>
  <c r="H459" i="11"/>
  <c r="I459" i="11"/>
  <c r="H460" i="11"/>
  <c r="I460" i="11"/>
  <c r="H461" i="11"/>
  <c r="I461" i="11"/>
  <c r="H462" i="11"/>
  <c r="I462" i="11"/>
  <c r="H463" i="11"/>
  <c r="I463" i="11"/>
  <c r="H464" i="11"/>
  <c r="I464" i="11"/>
  <c r="H465" i="11"/>
  <c r="I465" i="11"/>
  <c r="H466" i="11"/>
  <c r="I466" i="11"/>
  <c r="H467" i="11"/>
  <c r="I467" i="11"/>
  <c r="H468" i="11"/>
  <c r="I468" i="11"/>
  <c r="H469" i="11"/>
  <c r="I469" i="11"/>
  <c r="H470" i="11"/>
  <c r="I470" i="11"/>
  <c r="H471" i="11"/>
  <c r="I471" i="11"/>
  <c r="H472" i="11"/>
  <c r="I472" i="11"/>
  <c r="H473" i="11"/>
  <c r="I473" i="11"/>
  <c r="H474" i="11"/>
  <c r="I474" i="11"/>
  <c r="H475" i="11"/>
  <c r="I475" i="11"/>
  <c r="H476" i="11"/>
  <c r="I476" i="11"/>
  <c r="H477" i="11"/>
  <c r="I477" i="11"/>
  <c r="H478" i="11"/>
  <c r="I478" i="11"/>
  <c r="H479" i="11"/>
  <c r="I479" i="11"/>
  <c r="H480" i="11"/>
  <c r="I480" i="11"/>
  <c r="H481" i="11"/>
  <c r="I481" i="11"/>
  <c r="H482" i="11"/>
  <c r="I482" i="11"/>
  <c r="H483" i="11"/>
  <c r="I483" i="11"/>
  <c r="H484" i="11"/>
  <c r="I484" i="11"/>
  <c r="H485" i="11"/>
  <c r="I485" i="11"/>
  <c r="H486" i="11"/>
  <c r="I486" i="11"/>
  <c r="H487" i="11"/>
  <c r="I487" i="11"/>
  <c r="H488" i="11"/>
  <c r="I488" i="11"/>
  <c r="H489" i="11"/>
  <c r="I489" i="11"/>
  <c r="H490" i="11"/>
  <c r="I490" i="11"/>
  <c r="H491" i="11"/>
  <c r="I491" i="11"/>
  <c r="H492" i="11"/>
  <c r="I492" i="11"/>
  <c r="H493" i="11"/>
  <c r="I493" i="11"/>
  <c r="H494" i="11"/>
  <c r="I494" i="11"/>
  <c r="H495" i="11"/>
  <c r="I495" i="11"/>
  <c r="H496" i="11"/>
  <c r="I496" i="11"/>
  <c r="H497" i="11"/>
  <c r="I497" i="11"/>
  <c r="H498" i="11"/>
  <c r="I498" i="11"/>
  <c r="H499" i="11"/>
  <c r="I499" i="11"/>
  <c r="H500" i="11"/>
  <c r="I500" i="11"/>
  <c r="H501" i="11"/>
  <c r="I501" i="11"/>
  <c r="H502" i="11"/>
  <c r="I502" i="11"/>
  <c r="H503" i="11"/>
  <c r="I503" i="11"/>
  <c r="H504" i="11"/>
  <c r="I504" i="11"/>
  <c r="H505" i="11"/>
  <c r="I505" i="11"/>
  <c r="H506" i="11"/>
  <c r="I506" i="11"/>
  <c r="H507" i="11"/>
  <c r="I507" i="11"/>
  <c r="H508" i="11"/>
  <c r="I508" i="11"/>
  <c r="H509" i="11"/>
  <c r="I509" i="11"/>
  <c r="H510" i="11"/>
  <c r="I510" i="11"/>
  <c r="H511" i="11"/>
  <c r="I511" i="11"/>
  <c r="H512" i="11"/>
  <c r="I512" i="11"/>
  <c r="H513" i="11"/>
  <c r="I513" i="11"/>
  <c r="H514" i="11"/>
  <c r="I514" i="11"/>
  <c r="H515" i="11"/>
  <c r="I515" i="11"/>
  <c r="H516" i="11"/>
  <c r="I516" i="11"/>
  <c r="H517" i="11"/>
  <c r="I517" i="11"/>
  <c r="H518" i="11"/>
  <c r="I518" i="11"/>
  <c r="H519" i="11"/>
  <c r="I519" i="11"/>
  <c r="H520" i="11"/>
  <c r="I520" i="11"/>
  <c r="H521" i="11"/>
  <c r="I521" i="11"/>
  <c r="H522" i="11"/>
  <c r="I522" i="11"/>
  <c r="H523" i="11"/>
  <c r="I523" i="11"/>
  <c r="H524" i="11"/>
  <c r="I524" i="11"/>
  <c r="H525" i="11"/>
  <c r="I525" i="11"/>
  <c r="H526" i="11"/>
  <c r="I526" i="11"/>
  <c r="H527" i="11"/>
  <c r="I527" i="11"/>
  <c r="H528" i="11"/>
  <c r="I528" i="11"/>
  <c r="H529" i="11"/>
  <c r="I529" i="11"/>
  <c r="H530" i="11"/>
  <c r="I530" i="11"/>
  <c r="H531" i="11"/>
  <c r="I531" i="11"/>
  <c r="H532" i="11"/>
  <c r="I532" i="11"/>
  <c r="H533" i="11"/>
  <c r="I533" i="11"/>
  <c r="H534" i="11"/>
  <c r="I534" i="11"/>
  <c r="H535" i="11"/>
  <c r="I535" i="11"/>
  <c r="H536" i="11"/>
  <c r="I536" i="11"/>
  <c r="H537" i="11"/>
  <c r="I537" i="11"/>
  <c r="H538" i="11"/>
  <c r="I538" i="11"/>
  <c r="H539" i="11"/>
  <c r="I539" i="11"/>
  <c r="H540" i="11"/>
  <c r="I540" i="11"/>
  <c r="H541" i="11"/>
  <c r="I541" i="11"/>
  <c r="H542" i="11"/>
  <c r="I542" i="11"/>
  <c r="H543" i="11"/>
  <c r="I543" i="11"/>
  <c r="H544" i="11"/>
  <c r="I544" i="11"/>
  <c r="H545" i="11"/>
  <c r="I545" i="11"/>
  <c r="H546" i="11"/>
  <c r="I546" i="11"/>
  <c r="H547" i="11"/>
  <c r="I547" i="11"/>
  <c r="H548" i="11"/>
  <c r="I548" i="11"/>
  <c r="H549" i="11"/>
  <c r="I549" i="11"/>
  <c r="H550" i="11"/>
  <c r="I550" i="11"/>
  <c r="H551" i="11"/>
  <c r="I551" i="11"/>
  <c r="H552" i="11"/>
  <c r="I552" i="11"/>
  <c r="H553" i="11"/>
  <c r="I553" i="11"/>
  <c r="H554" i="11"/>
  <c r="I554" i="11"/>
  <c r="H555" i="11"/>
  <c r="I555" i="11"/>
  <c r="H556" i="11"/>
  <c r="I556" i="11"/>
  <c r="H557" i="11"/>
  <c r="I557" i="11"/>
  <c r="H558" i="11"/>
  <c r="I558" i="11"/>
  <c r="H559" i="11"/>
  <c r="I559" i="11"/>
  <c r="H560" i="11"/>
  <c r="I560" i="11"/>
  <c r="H561" i="11"/>
  <c r="I561" i="11"/>
  <c r="H562" i="11"/>
  <c r="I562" i="11"/>
  <c r="H563" i="11"/>
  <c r="I563" i="11"/>
  <c r="H564" i="11"/>
  <c r="I564" i="11"/>
  <c r="H565" i="11"/>
  <c r="I565" i="11"/>
  <c r="H566" i="11"/>
  <c r="I566" i="11"/>
  <c r="H567" i="11"/>
  <c r="I567" i="11"/>
  <c r="H568" i="11"/>
  <c r="I568" i="11"/>
  <c r="I7" i="11"/>
  <c r="H7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8" i="36"/>
  <c r="A9" i="36"/>
  <c r="A10" i="36"/>
  <c r="A11" i="36"/>
  <c r="A12" i="36"/>
  <c r="A13" i="36"/>
  <c r="A14" i="36"/>
  <c r="A15" i="36"/>
  <c r="A16" i="36"/>
  <c r="A17" i="36"/>
  <c r="A18" i="36"/>
  <c r="A19" i="36"/>
  <c r="E21" i="38"/>
  <c r="E22" i="38"/>
  <c r="C21" i="38"/>
  <c r="C22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C14" i="38"/>
  <c r="C15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C20" i="38"/>
  <c r="C19" i="38"/>
  <c r="C18" i="38"/>
  <c r="C17" i="38"/>
  <c r="C16" i="38"/>
  <c r="C13" i="38"/>
  <c r="C12" i="38"/>
  <c r="C11" i="38"/>
  <c r="C10" i="38"/>
  <c r="C9" i="38"/>
  <c r="C8" i="38"/>
  <c r="E7" i="38"/>
  <c r="C7" i="38"/>
  <c r="B3" i="38"/>
  <c r="B3" i="36"/>
  <c r="B3" i="34"/>
  <c r="D134" i="5"/>
  <c r="D133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D145" i="5"/>
  <c r="D144" i="5"/>
  <c r="B3" i="31"/>
  <c r="D143" i="5"/>
  <c r="D142" i="5"/>
  <c r="D141" i="5"/>
  <c r="D140" i="5"/>
  <c r="D139" i="5"/>
  <c r="D138" i="5"/>
  <c r="D137" i="5"/>
  <c r="D135" i="5"/>
  <c r="D136" i="5"/>
  <c r="D132" i="5"/>
  <c r="D131" i="5"/>
  <c r="D130" i="5"/>
  <c r="D129" i="5"/>
  <c r="D128" i="5"/>
  <c r="D127" i="5"/>
  <c r="D123" i="5"/>
  <c r="D124" i="5"/>
  <c r="D125" i="5"/>
  <c r="D126" i="5"/>
  <c r="D117" i="5"/>
  <c r="D116" i="5"/>
  <c r="D115" i="5"/>
  <c r="D114" i="5"/>
  <c r="D113" i="5"/>
  <c r="D118" i="5"/>
  <c r="D119" i="5"/>
  <c r="D120" i="5"/>
  <c r="D121" i="5"/>
  <c r="D122" i="5"/>
  <c r="D112" i="5"/>
  <c r="D111" i="5"/>
  <c r="D110" i="5"/>
  <c r="D389" i="11"/>
  <c r="D390" i="11"/>
  <c r="D391" i="11"/>
  <c r="D392" i="11"/>
  <c r="D393" i="11"/>
  <c r="D394" i="11"/>
  <c r="D395" i="11"/>
  <c r="D396" i="11"/>
  <c r="D397" i="11"/>
  <c r="D398" i="11"/>
  <c r="D399" i="11"/>
  <c r="D109" i="5"/>
  <c r="D108" i="5"/>
  <c r="D107" i="5"/>
  <c r="D106" i="5"/>
  <c r="D105" i="5"/>
  <c r="D98" i="5"/>
  <c r="D99" i="5"/>
  <c r="D135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104" i="5"/>
  <c r="D103" i="5"/>
  <c r="D102" i="5"/>
  <c r="D101" i="5"/>
  <c r="D100" i="5"/>
  <c r="D97" i="5"/>
  <c r="D96" i="5"/>
  <c r="D95" i="5"/>
  <c r="D94" i="5"/>
  <c r="D93" i="5"/>
  <c r="D92" i="5"/>
  <c r="D77" i="5"/>
  <c r="D76" i="5"/>
  <c r="D85" i="5"/>
  <c r="D84" i="5"/>
  <c r="D68" i="5"/>
  <c r="D67" i="5"/>
  <c r="D91" i="5"/>
  <c r="C126" i="7"/>
  <c r="C125" i="7"/>
  <c r="C124" i="7"/>
  <c r="C123" i="7"/>
  <c r="C122" i="7"/>
  <c r="C121" i="7"/>
  <c r="C120" i="7"/>
  <c r="C119" i="7"/>
  <c r="C118" i="7"/>
  <c r="C115" i="7"/>
  <c r="C110" i="7"/>
  <c r="C109" i="7"/>
  <c r="D7" i="5"/>
  <c r="D8" i="5"/>
  <c r="F8" i="5"/>
  <c r="D9" i="5"/>
  <c r="D10" i="5"/>
  <c r="D11" i="5"/>
  <c r="D12" i="5"/>
  <c r="D13" i="5"/>
  <c r="D14" i="5"/>
  <c r="D15" i="5"/>
  <c r="D16" i="5"/>
  <c r="D17" i="5"/>
  <c r="D18" i="5"/>
  <c r="D19" i="5"/>
  <c r="F19" i="5"/>
  <c r="D20" i="5"/>
  <c r="D21" i="5"/>
  <c r="D22" i="5"/>
  <c r="D23" i="5"/>
  <c r="D24" i="5"/>
  <c r="D25" i="5"/>
  <c r="D26" i="5"/>
  <c r="D27" i="5"/>
  <c r="D28" i="5"/>
  <c r="F28" i="5"/>
  <c r="D29" i="5"/>
  <c r="D30" i="5"/>
  <c r="D31" i="5"/>
  <c r="D32" i="5"/>
  <c r="D33" i="5"/>
  <c r="F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9" i="5"/>
  <c r="D70" i="5"/>
  <c r="D71" i="5"/>
  <c r="D72" i="5"/>
  <c r="D73" i="5"/>
  <c r="D74" i="5"/>
  <c r="D75" i="5"/>
  <c r="D78" i="5"/>
  <c r="D79" i="5"/>
  <c r="D80" i="5"/>
  <c r="D81" i="5"/>
  <c r="D82" i="5"/>
  <c r="D83" i="5"/>
  <c r="D86" i="5"/>
  <c r="D87" i="5"/>
  <c r="D88" i="5"/>
  <c r="D89" i="5"/>
  <c r="D90" i="5"/>
  <c r="C108" i="7"/>
  <c r="C107" i="7"/>
  <c r="C106" i="7"/>
  <c r="C105" i="7"/>
  <c r="C104" i="7"/>
  <c r="C103" i="7"/>
  <c r="A8" i="27"/>
  <c r="C102" i="7"/>
  <c r="C101" i="7"/>
  <c r="C100" i="7"/>
  <c r="C99" i="7"/>
  <c r="C98" i="7"/>
  <c r="C97" i="7"/>
  <c r="C96" i="7"/>
  <c r="C94" i="7"/>
  <c r="C95" i="7"/>
  <c r="C90" i="7"/>
  <c r="C93" i="7"/>
  <c r="C91" i="7"/>
  <c r="C92" i="7"/>
  <c r="C89" i="7"/>
  <c r="C88" i="7"/>
  <c r="C87" i="7"/>
  <c r="C86" i="7"/>
  <c r="C80" i="7"/>
  <c r="C81" i="7"/>
  <c r="C82" i="7"/>
  <c r="C83" i="7"/>
  <c r="C84" i="7"/>
  <c r="C85" i="7"/>
  <c r="C78" i="7"/>
  <c r="C79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D374" i="11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7" i="7"/>
  <c r="F12" i="5"/>
  <c r="F18" i="5"/>
  <c r="F16" i="5"/>
  <c r="F14" i="5"/>
  <c r="F10" i="5"/>
  <c r="F17" i="5"/>
  <c r="F15" i="5"/>
  <c r="F13" i="5"/>
  <c r="F11" i="5"/>
  <c r="F9" i="5"/>
  <c r="B3" i="7"/>
  <c r="F24" i="5"/>
  <c r="F25" i="5"/>
  <c r="F23" i="5"/>
  <c r="F22" i="5"/>
  <c r="F27" i="5"/>
  <c r="F26" i="5"/>
  <c r="F20" i="5"/>
  <c r="F37" i="5"/>
  <c r="F38" i="5"/>
  <c r="F41" i="5"/>
  <c r="B3" i="11"/>
  <c r="F46" i="5"/>
  <c r="F63" i="5"/>
  <c r="F66" i="5"/>
  <c r="F75" i="5"/>
  <c r="B3" i="5"/>
  <c r="F104" i="5"/>
  <c r="F48" i="5"/>
  <c r="F47" i="5"/>
  <c r="F7" i="5"/>
  <c r="F62" i="5"/>
  <c r="F59" i="5"/>
  <c r="F85" i="5"/>
  <c r="F52" i="5"/>
  <c r="F69" i="5"/>
  <c r="F55" i="5"/>
  <c r="F51" i="5"/>
  <c r="F80" i="5"/>
  <c r="F60" i="5"/>
  <c r="F77" i="5"/>
  <c r="F50" i="5"/>
  <c r="F68" i="5"/>
  <c r="F82" i="5"/>
  <c r="F96" i="5"/>
  <c r="F87" i="5"/>
  <c r="F83" i="5"/>
  <c r="F73" i="5"/>
  <c r="F57" i="5"/>
  <c r="F90" i="5"/>
  <c r="F103" i="5"/>
  <c r="F64" i="5"/>
  <c r="F88" i="5"/>
  <c r="F61" i="5"/>
  <c r="F70" i="5"/>
  <c r="F56" i="5"/>
  <c r="F58" i="5"/>
  <c r="F49" i="5"/>
  <c r="F72" i="5"/>
  <c r="F54" i="5"/>
  <c r="F102" i="5"/>
  <c r="F79" i="5"/>
  <c r="F89" i="5"/>
  <c r="F101" i="5"/>
  <c r="F65" i="5"/>
  <c r="F78" i="5"/>
  <c r="F100" i="5"/>
  <c r="F86" i="5"/>
  <c r="F71" i="5"/>
  <c r="F53" i="5"/>
  <c r="F91" i="5"/>
  <c r="F81" i="5"/>
  <c r="F43" i="5"/>
  <c r="F44" i="5"/>
  <c r="F74" i="5"/>
  <c r="F45" i="5"/>
  <c r="F39" i="5"/>
  <c r="F42" i="5"/>
  <c r="F30" i="5"/>
  <c r="F34" i="5"/>
  <c r="F35" i="5"/>
  <c r="F21" i="5"/>
  <c r="F36" i="5"/>
  <c r="F40" i="5"/>
  <c r="F31" i="5"/>
  <c r="F29" i="5"/>
  <c r="F32" i="5"/>
  <c r="F98" i="5"/>
</calcChain>
</file>

<file path=xl/comments1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9"/>
            <color indexed="81"/>
            <rFont val="Calibri"/>
            <family val="2"/>
          </rPr>
          <t>PK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9"/>
            <color indexed="81"/>
            <rFont val="Calibri"/>
            <family val="2"/>
          </rPr>
          <t>PK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sz val="8"/>
            <color indexed="81"/>
            <rFont val="Tahoma"/>
            <family val="2"/>
          </rPr>
          <t>Chave estrangeira com a tabela TIPO_DOC_ARRECADACAO.
PK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8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9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10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11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12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11"/>
            <color theme="1"/>
            <rFont val="Calibri"/>
            <family val="2"/>
            <scheme val="minor"/>
          </rPr>
          <t>Autor:</t>
        </r>
        <r>
          <rPr>
            <sz val="11"/>
            <color theme="1"/>
            <rFont val="Calibri"/>
            <family val="2"/>
            <scheme val="minor"/>
          </rPr>
          <t xml:space="preserve">
PK</t>
        </r>
      </text>
    </comment>
  </commentList>
</comments>
</file>

<file path=xl/comments13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14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PK</t>
        </r>
      </text>
    </comment>
  </commentList>
</comments>
</file>

<file path=xl/comments15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9"/>
            <color indexed="81"/>
            <rFont val="Calibri"/>
            <family val="2"/>
          </rPr>
          <t>PK</t>
        </r>
      </text>
    </comment>
  </commentList>
</comments>
</file>

<file path=xl/comments16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9"/>
            <color indexed="81"/>
            <rFont val="Calibri"/>
            <family val="2"/>
          </rPr>
          <t>PK</t>
        </r>
      </text>
    </comment>
  </commentList>
</comments>
</file>

<file path=xl/comments17.xml><?xml version="1.0" encoding="utf-8"?>
<comments xmlns="http://schemas.openxmlformats.org/spreadsheetml/2006/main">
  <authors>
    <author>Autor</author>
  </authors>
  <commentList>
    <comment ref="A6" authorId="0" shapeId="0">
      <text>
        <r>
          <rPr>
            <b/>
            <sz val="9"/>
            <color indexed="81"/>
            <rFont val="Calibri"/>
            <family val="2"/>
          </rPr>
          <t>PK</t>
        </r>
      </text>
    </comment>
  </commentList>
</comments>
</file>

<file path=xl/sharedStrings.xml><?xml version="1.0" encoding="utf-8"?>
<sst xmlns="http://schemas.openxmlformats.org/spreadsheetml/2006/main" count="3375" uniqueCount="2490">
  <si>
    <t>ID</t>
  </si>
  <si>
    <t>Tabela</t>
  </si>
  <si>
    <t>SEQUENCE</t>
  </si>
  <si>
    <t>NEXT VAL</t>
  </si>
  <si>
    <t>ID_SISTEMA</t>
  </si>
  <si>
    <t>NM_SISTEMA</t>
  </si>
  <si>
    <t>SG_SISTEMA</t>
  </si>
  <si>
    <t>FENIX</t>
  </si>
  <si>
    <t>FNX</t>
  </si>
  <si>
    <t>ID_PERFIL</t>
  </si>
  <si>
    <t>ID_TIPO_RECURSO_PROT</t>
  </si>
  <si>
    <t>DS_TIPO_RECURSO_PROT</t>
  </si>
  <si>
    <t>Botão</t>
  </si>
  <si>
    <t>Hiperlink</t>
  </si>
  <si>
    <t>Grupo de Componentes</t>
  </si>
  <si>
    <t>Rótulo de entrada de texto</t>
  </si>
  <si>
    <t>Item de menu</t>
  </si>
  <si>
    <t>Caixa de texto</t>
  </si>
  <si>
    <t>Página</t>
  </si>
  <si>
    <t>MN_RECURSO</t>
  </si>
  <si>
    <t>DS_RECURSO</t>
  </si>
  <si>
    <t>NR_ORDEM</t>
  </si>
  <si>
    <t>CD_MNEMONICO</t>
  </si>
  <si>
    <t>Manter usuários</t>
  </si>
  <si>
    <t>Manter perfis</t>
  </si>
  <si>
    <t>Confirmação</t>
  </si>
  <si>
    <t>Informação</t>
  </si>
  <si>
    <t>Erro</t>
  </si>
  <si>
    <t>Alerta</t>
  </si>
  <si>
    <t>Fatal</t>
  </si>
  <si>
    <t>ID_TIPO_MENSAGEM</t>
  </si>
  <si>
    <t>DS_TIPO_MENSAGEM</t>
  </si>
  <si>
    <t>LOGIN_JA_CADASTRADO</t>
  </si>
  <si>
    <t>Login já cadastrado no sistema</t>
  </si>
  <si>
    <t>Esse nome de login já está vinculado a outro usuário. Escolha um outro nome.</t>
  </si>
  <si>
    <t>EMAIL_JA_CADASTRADO</t>
  </si>
  <si>
    <t>Email já cadastrado no sistema</t>
  </si>
  <si>
    <t>Esse endereço de email já está vinculado a outro usuário. Escolha um outro endereço.</t>
  </si>
  <si>
    <t>SENHA_INVALIDA</t>
  </si>
  <si>
    <t>Senha não válida</t>
  </si>
  <si>
    <t>A senha deve ser formada por letras e números, ter no mínimo 6 caracteres de comprimento e deve possuir ao menos um número.</t>
  </si>
  <si>
    <t>SENHA_EXPIRADA</t>
  </si>
  <si>
    <t>Senha expirada</t>
  </si>
  <si>
    <t>A senha está expirada e deverá ser trocada.</t>
  </si>
  <si>
    <t>TITULAR_DEFINIDO</t>
  </si>
  <si>
    <t>Titular definido com sucesso</t>
  </si>
  <si>
    <t>USUARIO_BLOQUEADO</t>
  </si>
  <si>
    <t>Usuário bloqueado</t>
  </si>
  <si>
    <t>Seu acesso está bloqueado. Entre em contato com o Administrador.</t>
  </si>
  <si>
    <t>USUARIO_INVALIDO</t>
  </si>
  <si>
    <t>Usuário ou senha inválidos</t>
  </si>
  <si>
    <t>Você informou um nome de login ou senha inválidos ou inexistentes. Tente novamente</t>
  </si>
  <si>
    <t>EQUIPE_IMPORTADA</t>
  </si>
  <si>
    <t>Dados da equipe importados com sucesso</t>
  </si>
  <si>
    <t>EXCLUIR_EQUIPE</t>
  </si>
  <si>
    <t>Confirma a exclusão da equipe de projeto</t>
  </si>
  <si>
    <t>REPETICAO_INCORRETA</t>
  </si>
  <si>
    <t>Repetição da senha não corresponde ao valor anterior</t>
  </si>
  <si>
    <t>Você deve digitar os caracteres de acordo com o que é exibido na imagem ao lado.</t>
  </si>
  <si>
    <t>USUARIO_SEM_PERMISSAO</t>
  </si>
  <si>
    <t>Usuário sem permissões de acesso</t>
  </si>
  <si>
    <t>Você não tem permissão para acessar esse recurso. Se for o caso, entre em contato com o Gerente/Líder deste projeto e solicite a liberação do seu acesso.</t>
  </si>
  <si>
    <t>EMAIL_NAO_CADASTRADO</t>
  </si>
  <si>
    <t>Email não cadastrado</t>
  </si>
  <si>
    <t>Você informou um email que não corresponde ao seu email cadastrado. Tente novamente.</t>
  </si>
  <si>
    <t>EQUIPE_NAO_DEFINIDA</t>
  </si>
  <si>
    <t>Equipe não definida para o projeto</t>
  </si>
  <si>
    <t>Você precisa informar os componentes(outros usuários) da sua equipe. Um projeto deve ter uma equipe definida.</t>
  </si>
  <si>
    <t>EXCLUIR_USUARIO_EQUIPE</t>
  </si>
  <si>
    <t>Confirma excluir usuário da equipe?</t>
  </si>
  <si>
    <t>EQUIPE_SEM_RESPONSAVEL</t>
  </si>
  <si>
    <t>Equipe sem responsável definido</t>
  </si>
  <si>
    <t>Este projeto está sem responsáveis definidos.</t>
  </si>
  <si>
    <t>AUTENTICACAO_INVALIDA</t>
  </si>
  <si>
    <t>Autenticação inválida</t>
  </si>
  <si>
    <t>Suas credenciais de acesso estão inválidas. Por favor, realize o processo de login novamente no SIG e repita o acesso ao Fenix.</t>
  </si>
  <si>
    <t>USUARIO_INATIVO</t>
  </si>
  <si>
    <t>Usuário inativo</t>
  </si>
  <si>
    <t>Esse login de acesso foi colocado como inativo e não poderá acessar a aplicação. Entre em contato com o administrador.</t>
  </si>
  <si>
    <t>PROPAGAR_HIERARQUIA</t>
  </si>
  <si>
    <t>Confirma propagar pela hierarquia?</t>
  </si>
  <si>
    <t>TITULAR_NAO_DEFINIDO</t>
  </si>
  <si>
    <t>Titular não está definido</t>
  </si>
  <si>
    <t>Um titular deve ser definido para o projeto.</t>
  </si>
  <si>
    <t>AUTENTICACAO_FALHA</t>
  </si>
  <si>
    <t>Falha na autenticação</t>
  </si>
  <si>
    <t>A credencial de acesso fornecida não é válida. Faça login novamente.</t>
  </si>
  <si>
    <t>USUARIO_SEM_PERFIL</t>
  </si>
  <si>
    <t>Usuário sem perfil</t>
  </si>
  <si>
    <t>Você não tem um perfil definido. Entre em contato com o Administrador.</t>
  </si>
  <si>
    <t>SESSAO_EXPIRADA</t>
  </si>
  <si>
    <t>Sessão expirada</t>
  </si>
  <si>
    <t>A sessão de trabalho expirou. Faça login novamente.</t>
  </si>
  <si>
    <t>AUTENTICACAO_REALIZADA</t>
  </si>
  <si>
    <t>Autenticação realizada com sucesso</t>
  </si>
  <si>
    <t>CONFIRMA_GRAVAR</t>
  </si>
  <si>
    <t>Confirma gravar sem perfis associados</t>
  </si>
  <si>
    <t>PROJETO_COM_ACESSO_NEGADO</t>
  </si>
  <si>
    <t>Usuário sem permissão de acesso ao projeto</t>
  </si>
  <si>
    <t>Você não tem permissão para acessar esse projeto. Se for o caso, entre em contato com o Gerente/Líder deste projeto e solicite a liberação do seu acesso.</t>
  </si>
  <si>
    <t>CADASTRO_REALIZADO</t>
  </si>
  <si>
    <t>Cadastro realizado com sucesso</t>
  </si>
  <si>
    <t>ALTERACAO_REALIZADA</t>
  </si>
  <si>
    <t>Alteração realizada com sucesso</t>
  </si>
  <si>
    <t>DADOS_GRAVADOS</t>
  </si>
  <si>
    <t>Dados gravados com sucesso</t>
  </si>
  <si>
    <t>DADOS_EXCLUIDOS</t>
  </si>
  <si>
    <t>Dados excluídos com sucesso</t>
  </si>
  <si>
    <t>DADOS_REQUERIDOS</t>
  </si>
  <si>
    <t>Dados obrigatórios não informados</t>
  </si>
  <si>
    <t>Os dados requeridos não podem ser gravados sem valores</t>
  </si>
  <si>
    <t>CONFIRMA_EXCLUSAO</t>
  </si>
  <si>
    <t>Confirma a exclusão dos dados?</t>
  </si>
  <si>
    <t>FALHA_GRAVACAO</t>
  </si>
  <si>
    <t>Falha ao gravar dados</t>
  </si>
  <si>
    <t>Uma falha ao gravar dados ocorreu. Tente novamente.</t>
  </si>
  <si>
    <t>FALHA_ENVIO_EMAIL</t>
  </si>
  <si>
    <t>Email não pode ser enviado</t>
  </si>
  <si>
    <t>Uma falha ocorreu ao enviar email. Entre em contato com o administrador.</t>
  </si>
  <si>
    <t>FILTRO_REQUERIDO</t>
  </si>
  <si>
    <t>Ao menos um campo deve ser preenchido</t>
  </si>
  <si>
    <t>Para efetuar a pesquisa é requerido informar ao menos um valor em algum dos campos disponíveis.</t>
  </si>
  <si>
    <t>NAO_HA_DADOS</t>
  </si>
  <si>
    <t>Não há dados para exibição</t>
  </si>
  <si>
    <t>A consulta foi executada mas não encontrou dados correspondente ao filtro informado. Altere os dados da pesquisa e tente novamente.</t>
  </si>
  <si>
    <t>FALHA_EXCLUSAO</t>
  </si>
  <si>
    <t>Falha ao excluir dados</t>
  </si>
  <si>
    <t>Um erro foi encontrado ao excluir a informação. A operação foi cancelada.</t>
  </si>
  <si>
    <t>ID_MENSAGEM</t>
  </si>
  <si>
    <t>DS_MENSAGEM</t>
  </si>
  <si>
    <t>DS_COMPLEMENTAR</t>
  </si>
  <si>
    <t>ID_RESOURCE</t>
  </si>
  <si>
    <t>ID_TIPO_RESOURCE_BUNDLE</t>
  </si>
  <si>
    <t>DS_LABEL</t>
  </si>
  <si>
    <t>DS_HINT</t>
  </si>
  <si>
    <t>Nome do usuário</t>
  </si>
  <si>
    <t>Projeto</t>
  </si>
  <si>
    <t>Situação</t>
  </si>
  <si>
    <t>Tipo</t>
  </si>
  <si>
    <t>Nome da entidade</t>
  </si>
  <si>
    <t>CMD_EXPORTAR_PDF</t>
  </si>
  <si>
    <t>CMD_EXPORTAR_EXCEL</t>
  </si>
  <si>
    <t>Exportar Excel</t>
  </si>
  <si>
    <t>Excluir</t>
  </si>
  <si>
    <t>Perfis</t>
  </si>
  <si>
    <t>CMD_EXCLUIR_USUARIO</t>
  </si>
  <si>
    <t>CMD_PERFIS_USUARIO</t>
  </si>
  <si>
    <t>Informe o nome ou parte do nome usuário.</t>
  </si>
  <si>
    <t>CMD_CONSULTAR_USUARIO</t>
  </si>
  <si>
    <t>Situação do usuário.</t>
  </si>
  <si>
    <t>Tipo do usuário.</t>
  </si>
  <si>
    <t>Informe o nome ou parte do nome da entidade.</t>
  </si>
  <si>
    <t>Excluir o usuário selecionado.</t>
  </si>
  <si>
    <t>Permite associar e/ou desassociar perfis ao usuário selecionado.</t>
  </si>
  <si>
    <t>Consultar usuários conforme o filtro selecionado.</t>
  </si>
  <si>
    <t>Perfis disponíveis</t>
  </si>
  <si>
    <t>Perfis selecionados</t>
  </si>
  <si>
    <t>Recursos disponíveis</t>
  </si>
  <si>
    <t>Recursos selecionados</t>
  </si>
  <si>
    <t>Lista</t>
  </si>
  <si>
    <t>CMD_CONSULTAR_ENTIDADE</t>
  </si>
  <si>
    <t>CMD_CONSULTAR_PROJETO</t>
  </si>
  <si>
    <t>Gravar</t>
  </si>
  <si>
    <t>CMD_GRAVAR</t>
  </si>
  <si>
    <t>CMD_FECHAR</t>
  </si>
  <si>
    <t>Fechar</t>
  </si>
  <si>
    <t>Usuários</t>
  </si>
  <si>
    <t>Recursos protegidos</t>
  </si>
  <si>
    <t>Recurso</t>
  </si>
  <si>
    <t>CMD_LIMPAR_FILTRO</t>
  </si>
  <si>
    <t>Limpar</t>
  </si>
  <si>
    <t>CMD_SELECIONAR</t>
  </si>
  <si>
    <t>CMD_SELECIONAR_TODOS</t>
  </si>
  <si>
    <t>CMD_DESMARCAR</t>
  </si>
  <si>
    <t>CMD_DESMARCAR_TODOS</t>
  </si>
  <si>
    <t>Selecionar</t>
  </si>
  <si>
    <t>Selecionar todos</t>
  </si>
  <si>
    <t>Desmarcar</t>
  </si>
  <si>
    <t>Desmarcar todos</t>
  </si>
  <si>
    <t>Perfis associados ao recurso</t>
  </si>
  <si>
    <t>Recursos</t>
  </si>
  <si>
    <t>LST_PERFIS_RECURSOS</t>
  </si>
  <si>
    <t>#PAGINA</t>
  </si>
  <si>
    <t>Associa/desassocia perfil a usuário</t>
  </si>
  <si>
    <t>Associa/desassocia recurso a perfil</t>
  </si>
  <si>
    <t>Filtrar</t>
  </si>
  <si>
    <t>CMD_FILTRAR_RECURSO</t>
  </si>
  <si>
    <t>Associa/desassocia recurso a perfil, Consultar recursos</t>
  </si>
  <si>
    <t>CMD_RECURSOS</t>
  </si>
  <si>
    <t>Permite associar e/ou desassociar recursos ao perfil selecionado.</t>
  </si>
  <si>
    <t>CMD_EXCLUIR_RECURSO</t>
  </si>
  <si>
    <t>Manter equipe</t>
  </si>
  <si>
    <t>Responsáveis</t>
  </si>
  <si>
    <t>Procurar</t>
  </si>
  <si>
    <t>Incluir</t>
  </si>
  <si>
    <t>Perfis do usuário</t>
  </si>
  <si>
    <t>Importar</t>
  </si>
  <si>
    <t>CMD_IMPORTAR_EQUIPE</t>
  </si>
  <si>
    <t>FILTRO_NOME_ENTIDADE</t>
  </si>
  <si>
    <t>FILTRO_NOME_USUARIO</t>
  </si>
  <si>
    <t>FILTRO_PROJETO</t>
  </si>
  <si>
    <t>FILTRO_RECURSO</t>
  </si>
  <si>
    <t>FILTRO_SITUACAO_USUARIO</t>
  </si>
  <si>
    <t>FILTRO_TIPO_USUARIO</t>
  </si>
  <si>
    <t>GRP_RESPONSAVEIS</t>
  </si>
  <si>
    <t>GRP_USUARIOS</t>
  </si>
  <si>
    <t>LST_PERFIS</t>
  </si>
  <si>
    <t>LST_PERFIS_DISPONIVEIS</t>
  </si>
  <si>
    <t>LST_PERFIS_SELECIONADOS</t>
  </si>
  <si>
    <t>LST_PERFIS_USUARIO</t>
  </si>
  <si>
    <t>LST_RECURSOS</t>
  </si>
  <si>
    <t>LST_RECURSOS_DISPONIVEIS</t>
  </si>
  <si>
    <t>LST_RECURSOS_PERFIL</t>
  </si>
  <si>
    <t>LST_RECURSOS_SELECIONADOS</t>
  </si>
  <si>
    <t>LST_USUARIOS</t>
  </si>
  <si>
    <t>CMD_PROCURAR_USUARIO</t>
  </si>
  <si>
    <t>CMD_TRANSPORTAR</t>
  </si>
  <si>
    <t>DS_TIPO_RESOURCE_BUNDLE</t>
  </si>
  <si>
    <t>FILTRO_NOME_UNIDADE</t>
  </si>
  <si>
    <t>Unidade</t>
  </si>
  <si>
    <t>CMD_CONSULTAR_UNIDADE</t>
  </si>
  <si>
    <t>LBL_LOGIN</t>
  </si>
  <si>
    <t>LBL_USUARIO</t>
  </si>
  <si>
    <t>LBL_PERFIS_DISPONIVEIS</t>
  </si>
  <si>
    <t>LBL_PERFIS_SELECIONADOS</t>
  </si>
  <si>
    <t>LBL_RECURSOS</t>
  </si>
  <si>
    <t>LBL_PERFIS</t>
  </si>
  <si>
    <t>Login</t>
  </si>
  <si>
    <t>Usuário</t>
  </si>
  <si>
    <t>LBL_RECURSOS_ASSOCIADOS</t>
  </si>
  <si>
    <t>CMD_RETORNAR</t>
  </si>
  <si>
    <t>CMD_RETORNAR_TODOS</t>
  </si>
  <si>
    <t>Retornar</t>
  </si>
  <si>
    <t>Retornar todos</t>
  </si>
  <si>
    <t>Propriedade</t>
  </si>
  <si>
    <t>FEATURES_OFF</t>
  </si>
  <si>
    <t>LBL_SITUACAO_USUARIO</t>
  </si>
  <si>
    <t>LBL_NOME_ENTIDADE</t>
  </si>
  <si>
    <t>LBL_NOME_UNIDADE</t>
  </si>
  <si>
    <t>Entidade</t>
  </si>
  <si>
    <t>LBL_NOME_PERFIL</t>
  </si>
  <si>
    <t>Perfil</t>
  </si>
  <si>
    <t>LBL_SITUACAO</t>
  </si>
  <si>
    <t>LBL_PROPAGA_HIERARQUIA</t>
  </si>
  <si>
    <t>LBL_NOME_RECURSO</t>
  </si>
  <si>
    <t>Propaga hierarquia</t>
  </si>
  <si>
    <t>Nome do recurso.</t>
  </si>
  <si>
    <t>LBL_NOME_USUARIO</t>
  </si>
  <si>
    <t>Nome</t>
  </si>
  <si>
    <t>LBL_FILTRAR</t>
  </si>
  <si>
    <t>LBL_EQUIPE_PROJETO</t>
  </si>
  <si>
    <t>CMD_INCLUIR_USUARIO_PROJETO</t>
  </si>
  <si>
    <t>LBL_RECURSOS_DISPONIVEIS</t>
  </si>
  <si>
    <t>LBL_RECURSOS_SELECIONADOS</t>
  </si>
  <si>
    <t>Equipe de projeto</t>
  </si>
  <si>
    <t>LBL_ASSOCIAR_RECURSOS</t>
  </si>
  <si>
    <t>Associar recursos</t>
  </si>
  <si>
    <t>LBL_GESTOR</t>
  </si>
  <si>
    <t>LBL_GERENTE</t>
  </si>
  <si>
    <t>LBL_GERENTE_SUBSTITUTO</t>
  </si>
  <si>
    <t>LBL_LIDER</t>
  </si>
  <si>
    <t>Gestor</t>
  </si>
  <si>
    <t>Gerente</t>
  </si>
  <si>
    <t>Gerente substituto</t>
  </si>
  <si>
    <t>Líder</t>
  </si>
  <si>
    <t>NO_DATA</t>
  </si>
  <si>
    <t>ACESSO_NEGADO</t>
  </si>
  <si>
    <t>Não há dados para exibir</t>
  </si>
  <si>
    <t>Acesso negado.</t>
  </si>
  <si>
    <t>LBL_MANTER_USUARIOS</t>
  </si>
  <si>
    <t>Permite manter e consultar os dados de usuários e seus perfis.</t>
  </si>
  <si>
    <t>LBL_USUARIOS</t>
  </si>
  <si>
    <t>LBL_SEGURANCA</t>
  </si>
  <si>
    <t>Segurança</t>
  </si>
  <si>
    <t>#Tipo</t>
  </si>
  <si>
    <t>LBL_NOME_PROJETO</t>
  </si>
  <si>
    <t>LBL_PESQUISAR_PROJETO</t>
  </si>
  <si>
    <t>LBL_PESQUISAR</t>
  </si>
  <si>
    <t>FILTRO_NOME_PROJETO</t>
  </si>
  <si>
    <t>CMD_SELECIONAR_PROJETO</t>
  </si>
  <si>
    <t>LBL_PESQUISAR_UNIDADE</t>
  </si>
  <si>
    <t>CMD_SELECIONAR_UNIDADE</t>
  </si>
  <si>
    <t>LST_ENTIDADES</t>
  </si>
  <si>
    <t>LBL_PESQUISAR_ENTIDADE</t>
  </si>
  <si>
    <t>CMD_SELECIONAR_ENTIDADE</t>
  </si>
  <si>
    <t>LST_UNIDADES</t>
  </si>
  <si>
    <t>LBL_ASSOCIAR_PERFIS</t>
  </si>
  <si>
    <t>Nome do projeto</t>
  </si>
  <si>
    <t>Pesquisar projeto</t>
  </si>
  <si>
    <t>Pesquisar</t>
  </si>
  <si>
    <t>Selecionar projeto</t>
  </si>
  <si>
    <t>Pesquisar unidade</t>
  </si>
  <si>
    <t>Selecionar unidade</t>
  </si>
  <si>
    <t>Entidades</t>
  </si>
  <si>
    <t>Pesquisar entidade</t>
  </si>
  <si>
    <t>Selecionar entidade</t>
  </si>
  <si>
    <t>Unidades</t>
  </si>
  <si>
    <t>Associar perfis</t>
  </si>
  <si>
    <t>Nome do projeto.</t>
  </si>
  <si>
    <t>Pesquisar projeto.</t>
  </si>
  <si>
    <t>Informe o nome ou parte do nome do projeto e selecione Pesquisar.</t>
  </si>
  <si>
    <t>Retornar o projeto selecionado.</t>
  </si>
  <si>
    <t>Pesquisar unidade.</t>
  </si>
  <si>
    <t>Retornar a unidade selecionada.</t>
  </si>
  <si>
    <t>Lista de entidades.</t>
  </si>
  <si>
    <t>Pesquisar entidade.</t>
  </si>
  <si>
    <t>Retornar a entidade selecionada.</t>
  </si>
  <si>
    <t>Lista de unidades.</t>
  </si>
  <si>
    <t>Associar perfis ao usuário.</t>
  </si>
  <si>
    <t>ICO_APEX.TB_ICO_SISTEMA</t>
  </si>
  <si>
    <t>Sequence</t>
  </si>
  <si>
    <t>Ignore Delete</t>
  </si>
  <si>
    <t>SIG_APEX.TB_FNX_RESOURCE_BUNDLE</t>
  </si>
  <si>
    <t>ICO_APEX.TB_ICO_SISTEMA_PERFIL</t>
  </si>
  <si>
    <t>ICO_APEX.TB_ICO_TIPO_RECURSO_PROTEGIDO</t>
  </si>
  <si>
    <t>ICO_APEX.TB_ICO_RECURSO_PROTEGIDO</t>
  </si>
  <si>
    <t>SIG_APEX.TB_FNX_TIPO_MENSAGEM</t>
  </si>
  <si>
    <t>SIG_APEX.TB_FNX_TIPO_RESOURCE_BUNDLE</t>
  </si>
  <si>
    <t>SIG_APEX.TB_FNX_MENSAGEM</t>
  </si>
  <si>
    <t>SIM</t>
  </si>
  <si>
    <t>Sequence NextVal</t>
  </si>
  <si>
    <t>SIG_APEX.SQ_FNX_ID_MENSAGEM</t>
  </si>
  <si>
    <t>SIG_APEX.SQ_FNX_ID_RESOURCE</t>
  </si>
  <si>
    <t>Lista de Tabelas Básicas</t>
  </si>
  <si>
    <t>CMD_INCLUIR_USUARIO</t>
  </si>
  <si>
    <t>CMD_INCLUIR_USUARIO_EQUIPE</t>
  </si>
  <si>
    <t>CMD_ASSOCIAR_PERFIL</t>
  </si>
  <si>
    <t>CMD_CANCELAR</t>
  </si>
  <si>
    <t>CMD_EXCLUIR_PERFIL</t>
  </si>
  <si>
    <t>Cancelar</t>
  </si>
  <si>
    <t>Incluir o usuário selecionado.</t>
  </si>
  <si>
    <t>Incluir o usuário na equipe do projeto.</t>
  </si>
  <si>
    <t>Associa o perfil selecionado ao usuário.</t>
  </si>
  <si>
    <t>Excluir o perfil selecionado.</t>
  </si>
  <si>
    <t>CMD_GRAVAR_RESPONSAVEIS</t>
  </si>
  <si>
    <t>Gravar Responsáveis</t>
  </si>
  <si>
    <t>CMD_EDITAR_USUARIO_EQUIPE</t>
  </si>
  <si>
    <t>Editar</t>
  </si>
  <si>
    <t>Edita o usuário da equipe do projeto.</t>
  </si>
  <si>
    <t>GRP_EQUIPE_PROJETO</t>
  </si>
  <si>
    <t>Equipe do projeto</t>
  </si>
  <si>
    <t>Usuários membros da equipe do projeto atual.</t>
  </si>
  <si>
    <t>LBL_ADICIONAR_MEMBRO_EQUIPE</t>
  </si>
  <si>
    <t>LBL_EDITAR_MEMBRO_EQUIPE</t>
  </si>
  <si>
    <t>Adicionar Membro à Equipe</t>
  </si>
  <si>
    <t>Editar Membro da Equipe</t>
  </si>
  <si>
    <t>LBL_MANTER_RECURSOS</t>
  </si>
  <si>
    <t>LBL_MANTER_PERFIS</t>
  </si>
  <si>
    <t>LBL_PERFIS_RECURSO</t>
  </si>
  <si>
    <t>Manter recursos</t>
  </si>
  <si>
    <t>SIG_APEX.TB_FNX_PARAM_SISTEMA</t>
  </si>
  <si>
    <t>CD_PARAMETRO</t>
  </si>
  <si>
    <t>VL_PARAMETRO</t>
  </si>
  <si>
    <t>VAL_TOKEN_SSO</t>
  </si>
  <si>
    <t>10</t>
  </si>
  <si>
    <t>ID_RECURSO_PROT_PAI</t>
  </si>
  <si>
    <t>Associar/desassociar perfis ao usuário</t>
  </si>
  <si>
    <t>Exportar para Excel</t>
  </si>
  <si>
    <t>Incluir usuário</t>
  </si>
  <si>
    <t>Alterar usuário</t>
  </si>
  <si>
    <t>Excluir usuário</t>
  </si>
  <si>
    <t>Ativar/desativar usuário</t>
  </si>
  <si>
    <t>Expirar senha do usuário</t>
  </si>
  <si>
    <t>Resetar senha do usuário</t>
  </si>
  <si>
    <t>Trocar senha</t>
  </si>
  <si>
    <t>Solicitar senha</t>
  </si>
  <si>
    <t>Manter perfis de usuário</t>
  </si>
  <si>
    <t>Associar/desassociar recursos ao perfil</t>
  </si>
  <si>
    <t>Marcar checkbox</t>
  </si>
  <si>
    <t>Gravar alterações</t>
  </si>
  <si>
    <t>Incluir perfil</t>
  </si>
  <si>
    <t>Alterar alterar</t>
  </si>
  <si>
    <t>Excluir excluir</t>
  </si>
  <si>
    <t>Incluir recurso</t>
  </si>
  <si>
    <t>Alterar recurso</t>
  </si>
  <si>
    <t>Excluir recurso</t>
  </si>
  <si>
    <t>Manter equipe de projeto</t>
  </si>
  <si>
    <t>Importar equipe</t>
  </si>
  <si>
    <t>Definir titular</t>
  </si>
  <si>
    <t>Alterar responsáveis do projeto</t>
  </si>
  <si>
    <t>Alterar gestor do projeto</t>
  </si>
  <si>
    <t>Alterar gerente do projeto</t>
  </si>
  <si>
    <t>Alterar gerente substituto do projeto</t>
  </si>
  <si>
    <t>Alterar líder do projeto</t>
  </si>
  <si>
    <t>Gravar responsáveis</t>
  </si>
  <si>
    <t>Alterar componentes do projeto</t>
  </si>
  <si>
    <t>Incluir elemento</t>
  </si>
  <si>
    <t>Excluir elemento</t>
  </si>
  <si>
    <t>Alterar elemento</t>
  </si>
  <si>
    <t>Dashboard</t>
  </si>
  <si>
    <t>SEGURANCA</t>
  </si>
  <si>
    <t>MNT_USUARIO</t>
  </si>
  <si>
    <t>MNT_USUARIO_ASSOCIAR</t>
  </si>
  <si>
    <t>MNT_USUARIO_EXP_EXCEL</t>
  </si>
  <si>
    <t>MNT_USUARIO_INCL</t>
  </si>
  <si>
    <t>MNT_USUARIO_ALT</t>
  </si>
  <si>
    <t>MNT_USUARIO_EXCL</t>
  </si>
  <si>
    <t>MNT_USUARIO_ATIVA_DES</t>
  </si>
  <si>
    <t>MNT_USUARIO_EXPIRA_SENHA</t>
  </si>
  <si>
    <t>MNT_USUARIO_RESET_SENHA</t>
  </si>
  <si>
    <t>MNT_USUARIO_TROCA_SENHA</t>
  </si>
  <si>
    <t>MNT_USUARIO_SOLIC_SENHA</t>
  </si>
  <si>
    <t>MNT_PERFIL</t>
  </si>
  <si>
    <t>MNT_PERFIL_FILTRO</t>
  </si>
  <si>
    <t>MNT_PERFIL_ASSOCIAR</t>
  </si>
  <si>
    <t>MNT_PERFIL_CHK_BOX</t>
  </si>
  <si>
    <t>MNT_PERFIL_GRAVAR</t>
  </si>
  <si>
    <t>MNT_PERFIL_EXP_EXCEL</t>
  </si>
  <si>
    <t>MNT_PERFIL_INCL</t>
  </si>
  <si>
    <t>MNT_PERFIL_ALT</t>
  </si>
  <si>
    <t>MNT_PERFIL_EXC</t>
  </si>
  <si>
    <t>MNT_RECURSO</t>
  </si>
  <si>
    <t>MNT_RECURSO_INCL</t>
  </si>
  <si>
    <t>MNT_RECURSO_ALT</t>
  </si>
  <si>
    <t>MNT_RECURSO_EXC</t>
  </si>
  <si>
    <t>MNT_RECURSO_EXP_EXCEL</t>
  </si>
  <si>
    <t>MNT_EQP</t>
  </si>
  <si>
    <t>MNT_EQP_IMPORTAR</t>
  </si>
  <si>
    <t>MNT_EQP_DEF_TITULAR</t>
  </si>
  <si>
    <t>MNT_EQP_ATUALIZAR_RESP</t>
  </si>
  <si>
    <t>MNT_EQP_GESTOR</t>
  </si>
  <si>
    <t>MNT_EQP_GERENTE</t>
  </si>
  <si>
    <t>MNT_EQP_GERENTE_SUBST</t>
  </si>
  <si>
    <t>MNT_EQP_LIDER</t>
  </si>
  <si>
    <t>MNT_EQP_GRAVAR_RESP</t>
  </si>
  <si>
    <t>MNT_EQP_ATUALIZAR_COMP</t>
  </si>
  <si>
    <t>MNT_EQP_INCL_ELEM</t>
  </si>
  <si>
    <t>MNT_EQP_EXCL_ELEM</t>
  </si>
  <si>
    <t>MNT_EQP_ALT_ELEM</t>
  </si>
  <si>
    <t>MNT_EQP_EXP_EXCEL</t>
  </si>
  <si>
    <t>DASHBOARD</t>
  </si>
  <si>
    <t>ID_RECURSO_PROT</t>
  </si>
  <si>
    <t>PERFIL_DUPLICADO</t>
  </si>
  <si>
    <t>Falha ao associar perfil</t>
  </si>
  <si>
    <t>O perfil selecionado já está associado ao usuário. Selecione outro perfil.</t>
  </si>
  <si>
    <t>FALHA_GERAL</t>
  </si>
  <si>
    <t>Falha geral</t>
  </si>
  <si>
    <t>Falha geral.</t>
  </si>
  <si>
    <t>FALHA_CONSULTA</t>
  </si>
  <si>
    <t>Não há dados para a consulta especificada</t>
  </si>
  <si>
    <t>ACAO_SEM_ITENS_ORCAM</t>
  </si>
  <si>
    <t>Não há itens orçamentários para a ação selecionada</t>
  </si>
  <si>
    <t>Não há itens orçamentários para a ação selecionada.</t>
  </si>
  <si>
    <t>ACAO_SEM_ITEM_PADRAO</t>
  </si>
  <si>
    <t>Não há itens de ação padrão para a ação e tipo de ação selecionados</t>
  </si>
  <si>
    <t>INTERVALO_PARCELAS</t>
  </si>
  <si>
    <t>6</t>
  </si>
  <si>
    <t>ID_PROD_PROJETO_SETORIAL</t>
  </si>
  <si>
    <t>42</t>
  </si>
  <si>
    <t>ICO_APEX.SQ_RECURSO_PROT</t>
  </si>
  <si>
    <t>WS_EXEC_SUCESSO</t>
  </si>
  <si>
    <t>Execução do WebService concluída com sucesso.</t>
  </si>
  <si>
    <t>Recurso Protegido por Mudança</t>
  </si>
  <si>
    <t>LBL_RPM_TITULO</t>
  </si>
  <si>
    <t>Consultar Recurso Protegido por Mudança</t>
  </si>
  <si>
    <t>LBL_RPM_DESCRICAO_RECURSO</t>
  </si>
  <si>
    <t>LBL_RPM_RECURSO_PROTEGIDO</t>
  </si>
  <si>
    <t>LBL_RPM_SITUACAO_RECURSO</t>
  </si>
  <si>
    <t>CMD_CONSULTAR</t>
  </si>
  <si>
    <t>Consultar</t>
  </si>
  <si>
    <t>Descrição do Recurso</t>
  </si>
  <si>
    <t>Recurso Protegido</t>
  </si>
  <si>
    <t>Situação do Recurso</t>
  </si>
  <si>
    <t>LBL_CONFIRMACAO</t>
  </si>
  <si>
    <t>LBL_EDITAR_RPM</t>
  </si>
  <si>
    <t>Editar Recurso Protegido por Mudança</t>
  </si>
  <si>
    <t>LBL_CODIGO</t>
  </si>
  <si>
    <t>Código</t>
  </si>
  <si>
    <t>LBL_DATA_CADASTRO</t>
  </si>
  <si>
    <t>Data do Cadastro</t>
  </si>
  <si>
    <t>CMD_INCLUIR</t>
  </si>
  <si>
    <t>CMD_EDITAR</t>
  </si>
  <si>
    <t>CMD_EXCLUIR</t>
  </si>
  <si>
    <t>LBL_SIGLA_ENTIDADE</t>
  </si>
  <si>
    <t>Sigla</t>
  </si>
  <si>
    <t>SIG_APEX.TB_SGP_STATUS_ACAO</t>
  </si>
  <si>
    <t>ID_STATUS_ACAO</t>
  </si>
  <si>
    <t>DS_STATUS_ACAO</t>
  </si>
  <si>
    <t>#DT_CADAST_STATUS_ACAO</t>
  </si>
  <si>
    <t>#IN_STATUS_STATUS_ACAO</t>
  </si>
  <si>
    <t>#ID_PESSOA_LOG</t>
  </si>
  <si>
    <t>Concluída Financeiramente</t>
  </si>
  <si>
    <t>#Descrição Pai</t>
  </si>
  <si>
    <t>Where alternativo:</t>
  </si>
  <si>
    <t>ID_SISTEMA = 7</t>
  </si>
  <si>
    <t>#Tipo Recurso</t>
  </si>
  <si>
    <t>Manter Recurso Protegido por Mudança</t>
  </si>
  <si>
    <t>Incluir recurso protegido</t>
  </si>
  <si>
    <t>Incluir recurso protegido por mudança</t>
  </si>
  <si>
    <t>MNT_REC_PROT_MUD</t>
  </si>
  <si>
    <t>MNT_REC_PROT_MUD_INCLUIR</t>
  </si>
  <si>
    <t>MNT_REC_PROT_MUD_ALTERAR</t>
  </si>
  <si>
    <t>Alterar recurso protegido</t>
  </si>
  <si>
    <t>Alterar recurso protegido por mudança</t>
  </si>
  <si>
    <t>MNT_REC_PROT_MUD_EXCLUIR</t>
  </si>
  <si>
    <t>Excluir recurso protegido</t>
  </si>
  <si>
    <t>Excluir recurso protegido por mudança</t>
  </si>
  <si>
    <t>#Funcionalidade</t>
  </si>
  <si>
    <t>REC_PROT_MUD_CONF_EXCLUSAO</t>
  </si>
  <si>
    <t>Esta operação não excluirá fisicamente este registro, mas vai colocar no estado Inativo. Deseja continuar?</t>
  </si>
  <si>
    <t>Gerar Planejamento Inicial</t>
  </si>
  <si>
    <t>PROJETO_POSSUI_PARCELAS</t>
  </si>
  <si>
    <t>O projeto já possui parcelas cadastradas. O Plajejamento Financeiro Inicial já foi realizado para esse projeto.</t>
  </si>
  <si>
    <t>PROJETO_POSSUI_COTACAO</t>
  </si>
  <si>
    <t>O projeto já possui cotação de moedas cadastradas. O Plajejamento Financeiro Inicial já foi realizado para esse projeto.</t>
  </si>
  <si>
    <t>PROJETO_SEM_TIPO_INST_JURIDICO</t>
  </si>
  <si>
    <t>O projeto não possui tipo de instrumento jurídico definido.</t>
  </si>
  <si>
    <t>ID_STATUS_ACAO_CONC_FINANC</t>
  </si>
  <si>
    <t>8</t>
  </si>
  <si>
    <t>#Descrição</t>
  </si>
  <si>
    <t>Tempo, em minutos, de validade do token SSO.</t>
  </si>
  <si>
    <t>Interval, em meses, entre as parcelas geradas no planejamento financeiro inicial.</t>
  </si>
  <si>
    <t>Tipo de produto que identifica um projeto (de contrato ou convênio) setorial.</t>
  </si>
  <si>
    <t>Status, situação, que indica uma ação concluída financeiramente.</t>
  </si>
  <si>
    <t>Data da Parcela não pode ultrapassar a data final do projeto.</t>
  </si>
  <si>
    <t>Data da Parcela não pode anteceder a data de início do projeto.</t>
  </si>
  <si>
    <t>Data da Parcela não pode anteceder a data da parcela anterior.</t>
  </si>
  <si>
    <t>Data da Parcela não pode ultrapassar a data da parcela posterior.</t>
  </si>
  <si>
    <t>Data do desembolso não pode anteceder data do desembolso anterior.</t>
  </si>
  <si>
    <t>Data do desembolso não pode ultrapassar data do desembolso posterior.</t>
  </si>
  <si>
    <t>Não é possível alterar um desembolso que esteja com status de enviado ou pago.</t>
  </si>
  <si>
    <t>Data da parcela deve ser igual  a data do 1° desembolso de cada parcela.</t>
  </si>
  <si>
    <t>Data do desembolso incluido deve ter data posterior à data do último desembolso.</t>
  </si>
  <si>
    <t>Não é permitido excluir o 1º desembolso da parcela.</t>
  </si>
  <si>
    <t>Parcela deve ser incluída como última parcela.</t>
  </si>
  <si>
    <t>Data da nova parcela deve ser superior à data do último desembolso da última parcela.</t>
  </si>
  <si>
    <t>Não é permitido excluir parcela com lançamento realizado associado.</t>
  </si>
  <si>
    <t>Não é permitido excluir a primeira parcela do projeto.</t>
  </si>
  <si>
    <t>Não é permitido excluir parcela na fase de ?</t>
  </si>
  <si>
    <t>Apenas a última parcela pode ser excluída quando o projeto estiver em simulação.</t>
  </si>
  <si>
    <t>Não é possível realizar mudanças neste projeto pois existe uma pacote de mudança em análise.</t>
  </si>
  <si>
    <t>Data do desembolso não pode ultrapassar a data da parcela seguinte.</t>
  </si>
  <si>
    <t>Data de parcela inválida</t>
  </si>
  <si>
    <t>Data de desembolso inválida</t>
  </si>
  <si>
    <t>Falha ao excluir parcela</t>
  </si>
  <si>
    <t>Falha ao excluir desembolso</t>
  </si>
  <si>
    <t>Não é possível alterar</t>
  </si>
  <si>
    <t>Falha ao incluir parcela</t>
  </si>
  <si>
    <t>Alterar desembolso não permitido</t>
  </si>
  <si>
    <t>ERR_DT_PRCL_GT_DT_FINAL_PROJETO</t>
  </si>
  <si>
    <t>ERR_DT_PRCL_LT_DT_INICIO_PROJETO</t>
  </si>
  <si>
    <t>ERR_DT_PRCL_LT_DT_PRCL_ANTERIOR</t>
  </si>
  <si>
    <t>ERR_DT_PRCL_GT_DT_PRCL_POSTERIOR</t>
  </si>
  <si>
    <t>ERR_DT_DSMBLS_LT_DT_DSMBLS_ANTERIOR</t>
  </si>
  <si>
    <t>ERR_DT_DSMBLS_GT_DT_DSMBLS_POSTERIOR</t>
  </si>
  <si>
    <t>ERR_DESEMBOLSO_ENVIADO_PAGO</t>
  </si>
  <si>
    <t>ERR_DT_PRCL_NEQ_DT_PRIM_DSMBLS</t>
  </si>
  <si>
    <t>ERR_DT_DSMBLS_LT_DT_ULT_DSMBLS</t>
  </si>
  <si>
    <t>ERR_DESEMBOLSO_NAO_ULTIMO</t>
  </si>
  <si>
    <t>ERR_PRIMEIRO_DESEMBOLSO</t>
  </si>
  <si>
    <t>ERR_DEL_DESEMBOLSO_PAGO_ENVIADO</t>
  </si>
  <si>
    <t>ERR_PARCELA_NAO_ULTIMA</t>
  </si>
  <si>
    <t>ERR_DT_PRCL_LT_DT_ULT_DSMBLS_PRCL</t>
  </si>
  <si>
    <t>ERR_PARCELA_TEM_LANC_REALIZADO</t>
  </si>
  <si>
    <t>ERR_PRCL_TEM_DSMBLS_PAGO_ENVIADO</t>
  </si>
  <si>
    <t>ERR_PRIMEIRA_PARCELA_PROJETO</t>
  </si>
  <si>
    <t>ERR_PARCELA_TEM_PREST_CONTA</t>
  </si>
  <si>
    <t>ERR_FASE_PARCELA_INVALIDA</t>
  </si>
  <si>
    <t>ERR_PROJETO_TEM_PACOTE_MUDANCA</t>
  </si>
  <si>
    <t>ERR_DT_DSMBLS_GT_DT_PRCL_SEGUINTE</t>
  </si>
  <si>
    <t>CMD_PROJETO_ORIGINAL</t>
  </si>
  <si>
    <t>CMD_PROJETO_SIMULACAO</t>
  </si>
  <si>
    <t>Projeto original</t>
  </si>
  <si>
    <t>Projeto simulação</t>
  </si>
  <si>
    <t>CMD_GST_FIN_EXP_EXCEL</t>
  </si>
  <si>
    <t>CMD_GST_FIN_COTA_MOEDAS</t>
  </si>
  <si>
    <t>CMD_GST_FIN_PRJ_SIMULA</t>
  </si>
  <si>
    <t>CMD_GST_FIN_ORIGINAL</t>
  </si>
  <si>
    <t>CMD_GST_FIN_ALTERA_PRCL</t>
  </si>
  <si>
    <t>CMD_GST_FIN_NOVA_PRCL</t>
  </si>
  <si>
    <t>CMD_GST_FIN_EXCLUIR_PRCL</t>
  </si>
  <si>
    <t>CMD_GST_FIN_INCLUIR</t>
  </si>
  <si>
    <t>CMD_GST_FIN_EXCL_DSMBLS</t>
  </si>
  <si>
    <t>Cotação de moedas</t>
  </si>
  <si>
    <t>Nova parcela</t>
  </si>
  <si>
    <t>Excluir parcela</t>
  </si>
  <si>
    <t>Alterar parcela</t>
  </si>
  <si>
    <t>Incluir desembolso</t>
  </si>
  <si>
    <t>LBL_GST_FIN_CONV_TOTAL</t>
  </si>
  <si>
    <t>LBL_GST_FIN_VALOR_APEX</t>
  </si>
  <si>
    <t>LBL_GST_FIN_PERC_APEX</t>
  </si>
  <si>
    <t>LBL_GST_FIN_VLR_CTRPT_ECO</t>
  </si>
  <si>
    <t>LBL_GST_FIN_VLR CTRPT_FIN</t>
  </si>
  <si>
    <t>LBL_GST_FIN_VLR_TOTAL_CTRPT</t>
  </si>
  <si>
    <t>LBL_GST_FIN_PERC_CTRPT</t>
  </si>
  <si>
    <t>LBL_GST_FIN_VLR_TOTAL</t>
  </si>
  <si>
    <t>LBL_GST_FIN_PARCELA</t>
  </si>
  <si>
    <t>LBL_GST_FIN_DATA_PARCELA</t>
  </si>
  <si>
    <t>LBL_GST_FIN_OBRIG_AUD_EXT</t>
  </si>
  <si>
    <t>LBL_GST_FIN_DESEMBOLSOS</t>
  </si>
  <si>
    <t>LBL_GST_FIN_NUMERO</t>
  </si>
  <si>
    <t>LBL_GST_FIN_DATA_PREVISTA</t>
  </si>
  <si>
    <t>LBL_GST_FIN_MOEDA</t>
  </si>
  <si>
    <t>LBL_GST_FIN_VLR_MOEDA_ORI</t>
  </si>
  <si>
    <t>LBL_GST_FIN_VLR_PREVISTO</t>
  </si>
  <si>
    <t>LBL_GST_FIN_DATA_PGTO</t>
  </si>
  <si>
    <t>LBL_GST_FIN_VLR_PGTO</t>
  </si>
  <si>
    <t>LBL_GST_FIN_STATUS</t>
  </si>
  <si>
    <t>Convênio - Total</t>
  </si>
  <si>
    <t>Valor Apex</t>
  </si>
  <si>
    <t>% Apex</t>
  </si>
  <si>
    <t>Valor contrapartida econômica</t>
  </si>
  <si>
    <t>Valor contrapartida financeira</t>
  </si>
  <si>
    <t>Valor total contrapartida</t>
  </si>
  <si>
    <t>% Contrapartida</t>
  </si>
  <si>
    <t>Valor total</t>
  </si>
  <si>
    <t>Parcela</t>
  </si>
  <si>
    <t>Data parcela</t>
  </si>
  <si>
    <t>Obrig.auditoria externa</t>
  </si>
  <si>
    <t>Desembolsos</t>
  </si>
  <si>
    <t>Número</t>
  </si>
  <si>
    <t>Data prevista</t>
  </si>
  <si>
    <t>Moeda</t>
  </si>
  <si>
    <t>Valor moeda original</t>
  </si>
  <si>
    <t>Valor previsto</t>
  </si>
  <si>
    <t>Data pagamento</t>
  </si>
  <si>
    <t>Valor pagamento</t>
  </si>
  <si>
    <t>Status</t>
  </si>
  <si>
    <t>LBL_GST_FIN</t>
  </si>
  <si>
    <t>LBL_GST_FIN_COTACAO</t>
  </si>
  <si>
    <t>Cotação</t>
  </si>
  <si>
    <t>LBL_DIVERGENCIA_VALOR</t>
  </si>
  <si>
    <t>Há divergência de valores</t>
  </si>
  <si>
    <t>LST_DESEMBOLSOS_PARCELA</t>
  </si>
  <si>
    <t>Desembolsos da parcela</t>
  </si>
  <si>
    <t>CMD_GST_FIN_ALTERA_DSMBLS</t>
  </si>
  <si>
    <t>Alterar desembolso</t>
  </si>
  <si>
    <t>Exportar os dados correntes como um arquivo Excel.</t>
  </si>
  <si>
    <t>Exportar os dados correntes como um arquivo PDF.</t>
  </si>
  <si>
    <t>Não é permitido excluir desembolso com status %s.</t>
  </si>
  <si>
    <t>Data do desembolso não pode ultrapassar a data final do projeto.</t>
  </si>
  <si>
    <t>ERR_DT_DSMBLS_GT_DT_FINAL_PROJETO</t>
  </si>
  <si>
    <t>Gestão financeira</t>
  </si>
  <si>
    <t>GST_FINANC</t>
  </si>
  <si>
    <t>GST_FINANC_INCL_DESEMB</t>
  </si>
  <si>
    <t>Excluir desembolso</t>
  </si>
  <si>
    <t>GST_FINANC_ALT_DESEMB</t>
  </si>
  <si>
    <t>GST_FINANC_EXCL_DESEMB</t>
  </si>
  <si>
    <t>Incluir parcela</t>
  </si>
  <si>
    <t>GST_FINANC_INCL_PARCELA</t>
  </si>
  <si>
    <t>GST_FINANC_ALT_PARCELA</t>
  </si>
  <si>
    <t>GST_FINANC_EXCL_PARCELA</t>
  </si>
  <si>
    <t>GST_FINANC_EXP_EXCEL</t>
  </si>
  <si>
    <t>GST_FINANC_COTACAO</t>
  </si>
  <si>
    <t>Consultar cotação de moeda</t>
  </si>
  <si>
    <t>Alternar entre projeto original e simulação</t>
  </si>
  <si>
    <t>Alternar projeto original e simulação</t>
  </si>
  <si>
    <t>GST_FINANC_PARCELAS</t>
  </si>
  <si>
    <t>GST_FINANC_DESEMBOLSOS</t>
  </si>
  <si>
    <t>Parcelas</t>
  </si>
  <si>
    <t>Obrig. auditoria externa</t>
  </si>
  <si>
    <t>Obrigatoriedade de auditoria externa</t>
  </si>
  <si>
    <t>Alterar contrapartida financeira</t>
  </si>
  <si>
    <t>GST_FINANC_ALT_CONTRAPARTIDA</t>
  </si>
  <si>
    <t>GST_FINANC_ALT_AUDITORIA</t>
  </si>
  <si>
    <t>GST_FINANC_TROCAR_PROJETO</t>
  </si>
  <si>
    <t>statusBar viewMenu formatMenu columnsMenuItem freezeMenuItem detachMenuItem sortMenuItem reorderColumnsMenuItem resizeColumnsMenuItem wrapMenuItem</t>
  </si>
  <si>
    <t>ERR_VALOR_MOEDA_INVALIDO</t>
  </si>
  <si>
    <t>ERR_VALOR_DSMBLS_INVALIDO</t>
  </si>
  <si>
    <t>Valor de moeda inválido</t>
  </si>
  <si>
    <t>Valor de desembolso inválido</t>
  </si>
  <si>
    <t>É preciso informar um valor de moeda maior que zero</t>
  </si>
  <si>
    <t>É preciso informar um valor de desembolso maior que zero</t>
  </si>
  <si>
    <t>ERR_DATA_PARCELA_MENOR_MINIMA</t>
  </si>
  <si>
    <t>ERR_DATA_PARCELA_MAIOR_MAXIMA</t>
  </si>
  <si>
    <t>Data da parcela menor que o valor permitido</t>
  </si>
  <si>
    <t>Data da parcela maior que o valor permitido</t>
  </si>
  <si>
    <t>Data da parcela tem que ser maior ou igual a %s.</t>
  </si>
  <si>
    <t>Data da parcela tem que ser menor ou igual a %s.</t>
  </si>
  <si>
    <t>Gestão Financeira do Projeto</t>
  </si>
  <si>
    <t>Memória de Cálculo</t>
  </si>
  <si>
    <t>LBL_MEM_CALC_MES_PARC</t>
  </si>
  <si>
    <t>Mês</t>
  </si>
  <si>
    <t>LBL_MEM_CALC_PARCELA</t>
  </si>
  <si>
    <t>LBL_MEM_CALC_PG_REC_EXTERNOS</t>
  </si>
  <si>
    <t>Pag. Rec. Externos</t>
  </si>
  <si>
    <t>LBL_MEM_CALC_UN_MEDIDA</t>
  </si>
  <si>
    <t>LBL_MEM_CALC_MOEDA</t>
  </si>
  <si>
    <t>Unidade de medida do item orçamentário ou do detalhe de item orçamentário.</t>
  </si>
  <si>
    <t>Moeda do item orçamentário ou do detalhe do item orçamentário.</t>
  </si>
  <si>
    <t>LBL_MEM_CALC_QTDE</t>
  </si>
  <si>
    <t>Qtde</t>
  </si>
  <si>
    <t>Quantidade de itens do item orçamentário ou do detalhe do item orçamentário.</t>
  </si>
  <si>
    <t>LBL_MEM_CALC_VLR_UNIT</t>
  </si>
  <si>
    <t>Vlr. Unit.</t>
  </si>
  <si>
    <t>LBL_MEM_CALC_PERC_APEX</t>
  </si>
  <si>
    <t>LBL_MEM_CALC_CONTR_ECON</t>
  </si>
  <si>
    <t>LBL_MEM_CALC_CONTR_FINAN</t>
  </si>
  <si>
    <t>Financeira</t>
  </si>
  <si>
    <t>Valor de contrapartida financeira.</t>
  </si>
  <si>
    <t>Econômica</t>
  </si>
  <si>
    <t>LBL_MEM_CALC_TOTAL_CONTR</t>
  </si>
  <si>
    <t>Total Contr.</t>
  </si>
  <si>
    <t>LBL_MEM_CALC_PERC_CONTR</t>
  </si>
  <si>
    <t>% Contr.</t>
  </si>
  <si>
    <t>Percentual Apex em relação ao valor total.</t>
  </si>
  <si>
    <t>LBL_MEM_CALC_VLR_TOTAL</t>
  </si>
  <si>
    <t>Valor Total</t>
  </si>
  <si>
    <t>LBL_MEM_CALC_DESCRICAO</t>
  </si>
  <si>
    <t>Descrição</t>
  </si>
  <si>
    <t>Descrição do item.</t>
  </si>
  <si>
    <t>LBL_MEM_CALC_VLR_APEX</t>
  </si>
  <si>
    <t>Vlr. Apex</t>
  </si>
  <si>
    <t>LBL_MEM_CALC_PRJ_FASE_ATUAL</t>
  </si>
  <si>
    <t>Fase atual do projeto</t>
  </si>
  <si>
    <t>CMD_MEM_CALC_ATLZ_AUTO_ON</t>
  </si>
  <si>
    <t>CMD_MEM_CALC_ATLZ_AUTO_OFF</t>
  </si>
  <si>
    <t>CMD_MEM_CALC_SALVAR</t>
  </si>
  <si>
    <t>Salvar</t>
  </si>
  <si>
    <t>Converter em detalhe</t>
  </si>
  <si>
    <t>Converte o item orçamentário selecionado em detalhe de item orçamentário.</t>
  </si>
  <si>
    <t>CMD_MEM_CALC_NOVO_DET</t>
  </si>
  <si>
    <t>CMD_MEM_CALC_CONV_DET</t>
  </si>
  <si>
    <t>CMD_MEM_CALC_EXCLUIR_DET</t>
  </si>
  <si>
    <t>XLS</t>
  </si>
  <si>
    <t>PDF</t>
  </si>
  <si>
    <t>MEM_CALC_MUD_EM_ANALISE</t>
  </si>
  <si>
    <t>Não é possível realizar mudanças neste projeto pois existe um pacote de mudança em análise.</t>
  </si>
  <si>
    <t>MEM_CALC_FASE_PROJ_MUD</t>
  </si>
  <si>
    <t>A fase deste projeto não permite alteração da memória de cálculo.</t>
  </si>
  <si>
    <t>MEM_CALC_FASE_PROJ_MUD_SIMULACAO</t>
  </si>
  <si>
    <t>A fase deste projeto não permite modificar a memória de cálculo, para sugerir adequações utilize o projeto simulação.</t>
  </si>
  <si>
    <t>Cancelar.</t>
  </si>
  <si>
    <t>Consultar entidades.</t>
  </si>
  <si>
    <t>Consultar projetos.</t>
  </si>
  <si>
    <t>Consultar unidades organizacionais.</t>
  </si>
  <si>
    <t>Desmarcar.</t>
  </si>
  <si>
    <t>Desmarcar todos.</t>
  </si>
  <si>
    <t>Excluir o recurso selecionado.</t>
  </si>
  <si>
    <t>Fecha essa janela.</t>
  </si>
  <si>
    <t>Filtra os recursos exibidos.</t>
  </si>
  <si>
    <t>Salvar as alterações.</t>
  </si>
  <si>
    <t>Importar os membros de um equipe de projeto para o projeto atual.</t>
  </si>
  <si>
    <t>Limpar o filtro da consulta.</t>
  </si>
  <si>
    <t>Consultar usuários.</t>
  </si>
  <si>
    <t>Retornar.</t>
  </si>
  <si>
    <t>Retornar todos.</t>
  </si>
  <si>
    <t>Selecionar.</t>
  </si>
  <si>
    <t>Selecionar todos.</t>
  </si>
  <si>
    <t>Transporta o registro selecionado.</t>
  </si>
  <si>
    <t>Propriedades a desligar do panel collection.</t>
  </si>
  <si>
    <t>Informe o nome ou parte do nome da unidade de lotação do usuário.</t>
  </si>
  <si>
    <t>Informe o nome ou parte do nome do projeto e selecione Procurar.</t>
  </si>
  <si>
    <t>Informe o nome ou parte do nome do recurso protegido.</t>
  </si>
  <si>
    <t>Adicionar Membro à Equipe.</t>
  </si>
  <si>
    <t>Associar recursos a perfis.</t>
  </si>
  <si>
    <t>Editar Membro da Equipe.</t>
  </si>
  <si>
    <t>Equipe de projeto.</t>
  </si>
  <si>
    <t>Filtrar.</t>
  </si>
  <si>
    <t>Gerente do projeto.</t>
  </si>
  <si>
    <t>Gerente substituto do projeto.</t>
  </si>
  <si>
    <t>Gestor do projeto.</t>
  </si>
  <si>
    <t>Líder do projeto.</t>
  </si>
  <si>
    <t>Login do usuário.</t>
  </si>
  <si>
    <t>Permite manter e consultar os dados de perfis de usuário.</t>
  </si>
  <si>
    <t>Permite manter e consultar os dados de recursos.</t>
  </si>
  <si>
    <t>Entidade.</t>
  </si>
  <si>
    <t>Perfil do usuário.</t>
  </si>
  <si>
    <t>Unidade.</t>
  </si>
  <si>
    <t>Nome do usuário.</t>
  </si>
  <si>
    <t>Perfis.</t>
  </si>
  <si>
    <t>Perfis disponíveis.</t>
  </si>
  <si>
    <t>Perfis associados ao recurso.</t>
  </si>
  <si>
    <t>Perfis selecionados.</t>
  </si>
  <si>
    <t>Pesquisar.</t>
  </si>
  <si>
    <t>Propaga hierarquia.</t>
  </si>
  <si>
    <t>Recursos.</t>
  </si>
  <si>
    <t>Recursos disponíveis.</t>
  </si>
  <si>
    <t>Recursos selecionados.</t>
  </si>
  <si>
    <t>Segurança.</t>
  </si>
  <si>
    <t>Situação.</t>
  </si>
  <si>
    <t>Usuários.</t>
  </si>
  <si>
    <t>Lista de perfis.</t>
  </si>
  <si>
    <t>Perfis selecionados para o usuário.</t>
  </si>
  <si>
    <t>Perfis do usuário.</t>
  </si>
  <si>
    <t>Lista de recursos protegidos.</t>
  </si>
  <si>
    <t>Recursos protegidos disponíveis.</t>
  </si>
  <si>
    <t>Recursos associados ao perfil.</t>
  </si>
  <si>
    <t>Recursos protegidos selecionados para o perfil.</t>
  </si>
  <si>
    <t>Lista de usuários.</t>
  </si>
  <si>
    <t>Não há dados para exibir.</t>
  </si>
  <si>
    <t>Consultar Recurso Protegido por Mudança.</t>
  </si>
  <si>
    <t>Descrição do Recurso.</t>
  </si>
  <si>
    <t>Recurso Protegido.</t>
  </si>
  <si>
    <t>Situação do Recurso.</t>
  </si>
  <si>
    <t>Consultar.</t>
  </si>
  <si>
    <t>Confirmação.</t>
  </si>
  <si>
    <t>Editar Recurso Protegido por Mudança.</t>
  </si>
  <si>
    <t>Código.</t>
  </si>
  <si>
    <t>Data do Cadastro.</t>
  </si>
  <si>
    <t>Incluir.</t>
  </si>
  <si>
    <t>Editar.</t>
  </si>
  <si>
    <t>Excluir.</t>
  </si>
  <si>
    <t>Sigla.</t>
  </si>
  <si>
    <t>Carrega projeto original.</t>
  </si>
  <si>
    <t>Carrega projeto simulação.</t>
  </si>
  <si>
    <t>Exportar dados como uma planilha Excel.</t>
  </si>
  <si>
    <t>Exibir cotação de moedas.</t>
  </si>
  <si>
    <t>Alterar para o projeto simulação.</t>
  </si>
  <si>
    <t>Alterar para projeto original.</t>
  </si>
  <si>
    <t>Alterar parcela.</t>
  </si>
  <si>
    <t>Incluir nova parcela.</t>
  </si>
  <si>
    <t>Excluir a última parcela.</t>
  </si>
  <si>
    <t>Incluir desembolso.</t>
  </si>
  <si>
    <t>Excluir o desembolso corrente.</t>
  </si>
  <si>
    <t>Convênio - Total.</t>
  </si>
  <si>
    <t>Valor Apex.</t>
  </si>
  <si>
    <t>Percentual do valor Apex.</t>
  </si>
  <si>
    <t>Valor da contrapartida econômica.</t>
  </si>
  <si>
    <t>Valor da contrapartida financeira.</t>
  </si>
  <si>
    <t>Valor total da contrapartida.</t>
  </si>
  <si>
    <t>Percentual do valor de contrapartida.</t>
  </si>
  <si>
    <t>Valor total.</t>
  </si>
  <si>
    <t>Parcela.</t>
  </si>
  <si>
    <t>Data da parcela.</t>
  </si>
  <si>
    <t>Desembolsos.</t>
  </si>
  <si>
    <t>Número do desembolso.</t>
  </si>
  <si>
    <t>Data prevista de desembolso.</t>
  </si>
  <si>
    <t>Moeda.</t>
  </si>
  <si>
    <t>Valor na moeda original.</t>
  </si>
  <si>
    <t>Data de pagamento.</t>
  </si>
  <si>
    <t>Valor de pagamento.</t>
  </si>
  <si>
    <t>Status do desembolso.</t>
  </si>
  <si>
    <t>Cotação da moeda.</t>
  </si>
  <si>
    <t>Desembolsos da parcela.</t>
  </si>
  <si>
    <t>Altera o desembolso corrente.</t>
  </si>
  <si>
    <t>Valor total de contrapartida (financiera + econômica).</t>
  </si>
  <si>
    <t>Percentual Contrapartida em relação ao valor total.</t>
  </si>
  <si>
    <t>Fase atual do projeto.</t>
  </si>
  <si>
    <t>Salva as modificações da linha selecionada.</t>
  </si>
  <si>
    <t>MEM_CALC_ERR_MES_PARCELA</t>
  </si>
  <si>
    <t>Mês/ano de pagamento do item orçamentário inválido.</t>
  </si>
  <si>
    <t>O mês/ano de pagamento informado não está dentro do período de vigência do projeto.</t>
  </si>
  <si>
    <t>MEM_CALC_ERR_QTDE_MENOR_ZERO</t>
  </si>
  <si>
    <t>Quantidade não pode ser inferior a zero.</t>
  </si>
  <si>
    <t>A quantidade informada deve ser maior ou igual a zero.</t>
  </si>
  <si>
    <t>MEM_CALC_ERR_PC_INF_CP_FINAN_MENOR_ZERO</t>
  </si>
  <si>
    <t>Valor de contrapartida financeira negativa.</t>
  </si>
  <si>
    <t>A combinação dos valores informados (valor Apex e contrapartida econômica) define uma contrapartida econômica inválida.</t>
  </si>
  <si>
    <t>LBL_GST_CAD_DESEMBOLSO</t>
  </si>
  <si>
    <t>Cadastro de desembolso</t>
  </si>
  <si>
    <t>Cadastro de desembolso.</t>
  </si>
  <si>
    <t>MEM_CALC_PC_MENOR_ZERO</t>
  </si>
  <si>
    <t>Percentual informado inválido.</t>
  </si>
  <si>
    <t>O percentual informado deve ser maior ou igual a zero.</t>
  </si>
  <si>
    <t>MEM_CALC_PC_MAIOR_100</t>
  </si>
  <si>
    <t>O percentual informado deve ser menor ou igual a 100%.</t>
  </si>
  <si>
    <t>Valor informado inválido.</t>
  </si>
  <si>
    <t>O valor informado deve ser maior ou igual a zero.</t>
  </si>
  <si>
    <t>MEM_CALC_VL_NEGATIVO</t>
  </si>
  <si>
    <t>MEM_CALC_PC_CALC_MAIOR_100</t>
  </si>
  <si>
    <t>O valor informado define um percentual acima de 100%.</t>
  </si>
  <si>
    <t>MEM_CALC_PROJETO_SEM_COPIA</t>
  </si>
  <si>
    <t>Projeto não possui cópia para realizar a simulação.</t>
  </si>
  <si>
    <t>MEM_CALCULO</t>
  </si>
  <si>
    <t>Memória de cálculo</t>
  </si>
  <si>
    <t>MEM_CALCULO_SALVAR</t>
  </si>
  <si>
    <t>Salvar linha em edição</t>
  </si>
  <si>
    <t>MEM_CALCULO_CONV_PARA_DET</t>
  </si>
  <si>
    <t>Converter item orçamentário em detalhe</t>
  </si>
  <si>
    <t>Converte um item orçamentário em detalhe</t>
  </si>
  <si>
    <t>Salva a linha em edição da memória de cálculo</t>
  </si>
  <si>
    <t>MEM_CALCULO_EXCLUIR_DET</t>
  </si>
  <si>
    <t>Exclui ou inativa um detalhe de item orçamentário</t>
  </si>
  <si>
    <t>Realiza a exclusão ou inativa um detalhe de item orçamentário</t>
  </si>
  <si>
    <t>Abre o projeto simulação</t>
  </si>
  <si>
    <t>MEM_CALCULO_PROJ_SIMULACAO</t>
  </si>
  <si>
    <t>Abre a memória de cálculo do projeto simulação correspondente</t>
  </si>
  <si>
    <t>MEM_CALCULO_EMITIR_PDF</t>
  </si>
  <si>
    <t>Download do relatório em PDF</t>
  </si>
  <si>
    <t>Realiza o download do relatório no formato PDF</t>
  </si>
  <si>
    <t>MEM_CALCULO_EMITIR_XLS</t>
  </si>
  <si>
    <t>Download do relatório em XLS</t>
  </si>
  <si>
    <t>Realiza o download do relatório no formato XLS</t>
  </si>
  <si>
    <t>MEM_CALCULO_ALTERAR</t>
  </si>
  <si>
    <t>Indica que o perfil pode alterar as informações da memória de cálculo</t>
  </si>
  <si>
    <t>Pemissão para alteração</t>
  </si>
  <si>
    <t>-</t>
  </si>
  <si>
    <t>MEM_CALCULO_INCLUIR_DET</t>
  </si>
  <si>
    <t>Permissão para inclusão de detalhe</t>
  </si>
  <si>
    <t>Cria um novo detalhe de item orçamentário</t>
  </si>
  <si>
    <t>ERR_NAO_PODE_INCLUIR_PARCELA</t>
  </si>
  <si>
    <t>Não pode ser incluído uma nova parcela pois a data da última parcela é igual a do projeto.</t>
  </si>
  <si>
    <t>ERR_PROJETO_NAO_CONVENIO</t>
  </si>
  <si>
    <t>Projeto não é convênio</t>
  </si>
  <si>
    <t>ERR_PROJETO_SEM_COPIA</t>
  </si>
  <si>
    <t>Acesso não permitido</t>
  </si>
  <si>
    <t>MEM_CALC_APENAS_INTEIROS</t>
  </si>
  <si>
    <t>Informe apenas valores inteiros.</t>
  </si>
  <si>
    <t>Gestão financeira do convênio</t>
  </si>
  <si>
    <t>Manter a gestão financeira do projeto</t>
  </si>
  <si>
    <t>ERR_NAO_ULTIMA_PARCELA_SIMULACAO</t>
  </si>
  <si>
    <t>Não será permitido a exclusão da parcela, pois existe pelo menos um desembolso na situação de "Enviado Financeiro" ou "Pago".</t>
  </si>
  <si>
    <t>Não será permitido a exclusão da parcela, pois existe prestação de contas para a parcela.</t>
  </si>
  <si>
    <t>Somente é permitido excluir o último desembolso da parcela.</t>
  </si>
  <si>
    <t>PARCELA_INCLUIDA</t>
  </si>
  <si>
    <t>Parcela incluída</t>
  </si>
  <si>
    <t>Projeto não é convênio.</t>
  </si>
  <si>
    <t>Parcela incluída.</t>
  </si>
  <si>
    <t>IP e porta do servidor onde as regras de negócio estão disponibilizadas.</t>
  </si>
  <si>
    <t>SERVIDOR_RGN_COM_PORTA</t>
  </si>
  <si>
    <t>Excluir última parcela</t>
  </si>
  <si>
    <t>LBL_NAO_HA_DIVERGENCIA_VALOR</t>
  </si>
  <si>
    <t>Não há divergência de valores</t>
  </si>
  <si>
    <t>Não há divergência de valores.</t>
  </si>
  <si>
    <t>http://10.10.1.93:8001</t>
  </si>
  <si>
    <t>PRESTACAO_CONTA_INCLUIDA</t>
  </si>
  <si>
    <t>Prestação de contas</t>
  </si>
  <si>
    <t>Prestações de conta</t>
  </si>
  <si>
    <t>No. prestação</t>
  </si>
  <si>
    <t>Data início aplicação recurso</t>
  </si>
  <si>
    <t>Data final aplicação recurso</t>
  </si>
  <si>
    <t>Checar pendência</t>
  </si>
  <si>
    <t>Resumo geral</t>
  </si>
  <si>
    <t>Despesas</t>
  </si>
  <si>
    <t>Enviar</t>
  </si>
  <si>
    <t>Composição da prestação de contas</t>
  </si>
  <si>
    <t>Consulta prestação de contas</t>
  </si>
  <si>
    <t>Filtrar lançamentos</t>
  </si>
  <si>
    <t>Lançamentos</t>
  </si>
  <si>
    <t>Lançamentos que compõem esta prestação de contas</t>
  </si>
  <si>
    <t>Ação</t>
  </si>
  <si>
    <t>Item orçamentário</t>
  </si>
  <si>
    <t>Especificação do serviço</t>
  </si>
  <si>
    <t>Valor contrapartida</t>
  </si>
  <si>
    <t>Prestação de contas - Financeira</t>
  </si>
  <si>
    <t>1 - Receitas</t>
  </si>
  <si>
    <t>1.1 - Recursos Apex</t>
  </si>
  <si>
    <t>1.1.1 - Desembolsos</t>
  </si>
  <si>
    <t>Parcela/Desembolso</t>
  </si>
  <si>
    <t>Data</t>
  </si>
  <si>
    <t>Valor</t>
  </si>
  <si>
    <t>1.1.2 - Saldo parcela anterior</t>
  </si>
  <si>
    <t>1.2 - Recursos contrapartida</t>
  </si>
  <si>
    <t>1.2.1 - Financeiro</t>
  </si>
  <si>
    <t>1.2.2 - Econômico</t>
  </si>
  <si>
    <t>1.3 - Rend. liq. de aplicação financeira</t>
  </si>
  <si>
    <t>1.4 - Outras</t>
  </si>
  <si>
    <t>2 - Despesas</t>
  </si>
  <si>
    <t>2.1 - Despesas execução</t>
  </si>
  <si>
    <t>Tipo ação</t>
  </si>
  <si>
    <t>Contrapartida</t>
  </si>
  <si>
    <t>Apex Brasil</t>
  </si>
  <si>
    <t>TOTAL</t>
  </si>
  <si>
    <t>2.2 - Despesas bancarias</t>
  </si>
  <si>
    <t>2.3 - Outras despesas</t>
  </si>
  <si>
    <t>2.4 - Saldos e recebimentos</t>
  </si>
  <si>
    <t>2.4.1 - Saldo aplicação financeira</t>
  </si>
  <si>
    <t>2.4.2 - Saldo apurado na conta corrente</t>
  </si>
  <si>
    <t>TOTAL RECEITA</t>
  </si>
  <si>
    <t>TOTAL DESPESA</t>
  </si>
  <si>
    <t>Saldo extrato C/C na data da PC</t>
  </si>
  <si>
    <t>Divergência</t>
  </si>
  <si>
    <t>Índice de realização do convênio - Apex</t>
  </si>
  <si>
    <t>Nº PC</t>
  </si>
  <si>
    <t>Índice de realização do convênio - Contrapartida</t>
  </si>
  <si>
    <t>Observação</t>
  </si>
  <si>
    <t>Arquivos</t>
  </si>
  <si>
    <t>Extrato C/C</t>
  </si>
  <si>
    <t>Extrato aplicação</t>
  </si>
  <si>
    <t>Auditoria externa</t>
  </si>
  <si>
    <t>Arquivos comprovante de reembolso</t>
  </si>
  <si>
    <t>Prestação de contas - Técnica</t>
  </si>
  <si>
    <t>Ações envolvidas na prestação de contas</t>
  </si>
  <si>
    <t>Ação/Evento</t>
  </si>
  <si>
    <t>Local</t>
  </si>
  <si>
    <t>Período</t>
  </si>
  <si>
    <t>Qt. Negócios realizados</t>
  </si>
  <si>
    <t>Qt. Negócios esperados 12 meses</t>
  </si>
  <si>
    <t>Negócios realizados (US$)</t>
  </si>
  <si>
    <t>Negócios esperados 12 meses (US$)</t>
  </si>
  <si>
    <t>Metas alcançadas</t>
  </si>
  <si>
    <t>Indicador</t>
  </si>
  <si>
    <t>Ano</t>
  </si>
  <si>
    <t>Valor da meta</t>
  </si>
  <si>
    <t>Valor alcançado</t>
  </si>
  <si>
    <t>Compor lançamentos da prestação de contas</t>
  </si>
  <si>
    <t>Incluir nova prestação de contas</t>
  </si>
  <si>
    <t>Checar pendências da prestação de contas</t>
  </si>
  <si>
    <t>Gerar resumo geral em formato XLS</t>
  </si>
  <si>
    <t>Gerar relatório de despesas em formato XLS</t>
  </si>
  <si>
    <t>Gravar a prestação de contas corrente</t>
  </si>
  <si>
    <t>Enviar prestação de contas</t>
  </si>
  <si>
    <t>Excluir arquivo</t>
  </si>
  <si>
    <t>Situação da prestação de contas</t>
  </si>
  <si>
    <t>LBL_PC</t>
  </si>
  <si>
    <t>LBL_PC_PRESTACOES</t>
  </si>
  <si>
    <t>CMD_PC_INCLUIR</t>
  </si>
  <si>
    <t>CMD_PC_CHECAR_PENDENCIA</t>
  </si>
  <si>
    <t>CMD_PC_RESUMO_GERAL</t>
  </si>
  <si>
    <t>CMD_PC_DESPESAS</t>
  </si>
  <si>
    <t>CMD_PC_SALVAR</t>
  </si>
  <si>
    <t>CMD_PC_ENVIAR</t>
  </si>
  <si>
    <t>LBL_PC_NUM_PRESTACAO</t>
  </si>
  <si>
    <t>LBL_PC_DT_INICIO_APLIC</t>
  </si>
  <si>
    <t>LBL_PC_DT_FIM_APLIC</t>
  </si>
  <si>
    <t>LBL_PC_SITUACAO</t>
  </si>
  <si>
    <t>LBL_PC_COMPOSICAO</t>
  </si>
  <si>
    <t>LBL_PC_CONSULTA_COMPOS</t>
  </si>
  <si>
    <t>CMD_PC_FILTRAR</t>
  </si>
  <si>
    <t>LBL_PC_LANCAMENTOS</t>
  </si>
  <si>
    <t>LBL_PC_QTD_ACAO</t>
  </si>
  <si>
    <t>LBL_PC_LANCAMENTOS_COMPOS</t>
  </si>
  <si>
    <t>LBL_PC_ACAO</t>
  </si>
  <si>
    <t>LBL_PC_ITEM_ORCAMENT</t>
  </si>
  <si>
    <t>LBL_PC_ESPEC_SERVICOS</t>
  </si>
  <si>
    <t>LBL_PC_VALOR_APEX</t>
  </si>
  <si>
    <t>LBL_PC_VALOR_CPARTIDA</t>
  </si>
  <si>
    <t>LBL_PC_FINANCEIRA</t>
  </si>
  <si>
    <t>LBL_PC_1_RECEITAS</t>
  </si>
  <si>
    <t>LBL_PC_11_RECURSOS_APEX</t>
  </si>
  <si>
    <t>LBL_PC_111_DESEMBOLSOS</t>
  </si>
  <si>
    <t>LBL_PC_PARCELA_DESEMBOLSO</t>
  </si>
  <si>
    <t>LBL_PC_DATA</t>
  </si>
  <si>
    <t>Data do desembolso</t>
  </si>
  <si>
    <t>Valor do desembolso</t>
  </si>
  <si>
    <t>LBL_PC_VALOR_DESEMB</t>
  </si>
  <si>
    <t>LBL_PC_112_SALDO_ANTERIOR</t>
  </si>
  <si>
    <t>LBL_12_PC_RECURSO_CPARTIDA</t>
  </si>
  <si>
    <t>LBL_PC_121_FINANCEIRO</t>
  </si>
  <si>
    <t>LBL_PC_122_ECONOMICO</t>
  </si>
  <si>
    <t>LBL_PC_13_REND_LIQ_APLIC</t>
  </si>
  <si>
    <t>LBL_PC_14_OUTRAS</t>
  </si>
  <si>
    <t>LBL_PC_2_DESPESAS</t>
  </si>
  <si>
    <t>LBL_PC_21_DESPESAS_EXEC</t>
  </si>
  <si>
    <t>LBL_PC_TIPO_ACAO</t>
  </si>
  <si>
    <t>LBL_PC_CPARTIDA</t>
  </si>
  <si>
    <t>LBL_PC_APEX_BRASIL</t>
  </si>
  <si>
    <t>LBL_PC_TOTAL</t>
  </si>
  <si>
    <t>LBL_PC_22_DESP_BANCARIAS</t>
  </si>
  <si>
    <t>LBL_PC_23_OUTRAS_DESPESAS</t>
  </si>
  <si>
    <t>LBL_PC_24_SALDO_RECEBIMENTO</t>
  </si>
  <si>
    <t>LBL_PC_241_SALDO_APLIC_FINANCEIRA</t>
  </si>
  <si>
    <t>LBL_PC_TOTAL_RECEITA</t>
  </si>
  <si>
    <t>LBL_PC_TOTAL_DESPESA</t>
  </si>
  <si>
    <t>LBL_PC_SALDO_EXTRATO_CC</t>
  </si>
  <si>
    <t>LBL_PC_DIVERGENCIA</t>
  </si>
  <si>
    <t>LBL_PC_NUM_PC</t>
  </si>
  <si>
    <t>LBL_PC_DESEMB_REALIZADO</t>
  </si>
  <si>
    <t>LBL_PC_DESEMB_PREVISTO</t>
  </si>
  <si>
    <t>LBL_PC_LANCADO_PC</t>
  </si>
  <si>
    <t>LBL_PC_SALDO_PARCELA_ANT</t>
  </si>
  <si>
    <t>Desembolso previsto</t>
  </si>
  <si>
    <t>Desembolso realizado</t>
  </si>
  <si>
    <t>Saldo parcela anterior</t>
  </si>
  <si>
    <t>% Realização convênio</t>
  </si>
  <si>
    <t>LBL_PC_PERC_REAL_CONV</t>
  </si>
  <si>
    <t>LBL_PC_INDICE_REALIZACAO_APEX</t>
  </si>
  <si>
    <t>LBL_PC_INDICE_REAL_CPARTIDA</t>
  </si>
  <si>
    <t>Previsto contrapartida</t>
  </si>
  <si>
    <t>LBL_PC_PREVISTO_CPARTIDA</t>
  </si>
  <si>
    <t>LBL_PC_OBSERVACAO</t>
  </si>
  <si>
    <t>LBL_PC_ARQUIVOS</t>
  </si>
  <si>
    <t>LBL_PC_EXTRATO_CC</t>
  </si>
  <si>
    <t>LBL_PC_EXTRATO_APLIC</t>
  </si>
  <si>
    <t>LBL_PC_AUDITORIA_EXTERNA</t>
  </si>
  <si>
    <t>LBL_PC_ARQUIVOS_COMPROVANTES</t>
  </si>
  <si>
    <t>CMD_PC_EXCLUIR</t>
  </si>
  <si>
    <t>LBL_PC_TECNICA</t>
  </si>
  <si>
    <t>LBL_PC_ACOES_ENVOLVIDAS</t>
  </si>
  <si>
    <t>LBL_PC_ACAO_EVENTO</t>
  </si>
  <si>
    <t>LBL_PC_LOCAL</t>
  </si>
  <si>
    <t>LBL_PC_PERIODO</t>
  </si>
  <si>
    <t>LBL_PC_STATUS</t>
  </si>
  <si>
    <t>LBL_PC_NUM_EMPRESA_PREV</t>
  </si>
  <si>
    <t>LBL_PC_NUM_EMPRESA_CONFIRM</t>
  </si>
  <si>
    <t>LBL_PC_PREV</t>
  </si>
  <si>
    <t>LBL_PC_REAL</t>
  </si>
  <si>
    <t>Contatos comerciais</t>
  </si>
  <si>
    <t>LBL_PC_CONTRATOS_COMERCIAIS</t>
  </si>
  <si>
    <t>LBL_PC_QT_NEGOCIOS_REAL</t>
  </si>
  <si>
    <t>LBL_PC_QT_NEGOCIOS_ESPERADOS</t>
  </si>
  <si>
    <t>LBL_PC_NEGOCIO_REAL_US</t>
  </si>
  <si>
    <t>LBL_PC_NEGOCIOS_ESPERADOS_US</t>
  </si>
  <si>
    <t>LBL_PC_METAS_ALCANCADAS</t>
  </si>
  <si>
    <t>LBL_PC_INDICADOR</t>
  </si>
  <si>
    <t>LBL_PC_ANO</t>
  </si>
  <si>
    <t>LBL_PC_VALOR_META</t>
  </si>
  <si>
    <t>Ano da meta</t>
  </si>
  <si>
    <t>LBL_PC_VALOR_ALCANCADO</t>
  </si>
  <si>
    <t>Selecione uma prestação de contas</t>
  </si>
  <si>
    <t>Composição efetuada com sucesso</t>
  </si>
  <si>
    <t>ERR_PC_REQUERIDA</t>
  </si>
  <si>
    <t>ERR_PC_DT_FINAL_NAO_INFORMADA</t>
  </si>
  <si>
    <t>ERR_PC_DT_FINAL_MAIOR_DT_PROJETO</t>
  </si>
  <si>
    <t>COMPOSICAO_EFETUADA</t>
  </si>
  <si>
    <t>Data inválida</t>
  </si>
  <si>
    <t>LBL_PC_242_SALDO_APURADO_CC</t>
  </si>
  <si>
    <t>N Empresas confirmado</t>
  </si>
  <si>
    <t>Relatório de execução física da prestação de contas</t>
  </si>
  <si>
    <t>LBL_PC_RELAT_EXEC_FISICA</t>
  </si>
  <si>
    <t>LBL_PC_TIPO_DOCUMENTO</t>
  </si>
  <si>
    <t>Tipo de documento</t>
  </si>
  <si>
    <t>PRESTACAO_CONTA</t>
  </si>
  <si>
    <t>Incluir prestação de contas</t>
  </si>
  <si>
    <t>Checar pendência de prestação de contas</t>
  </si>
  <si>
    <t>Emitir resumo geral da prestação de contas</t>
  </si>
  <si>
    <t>Emitir despesas da prestação de contas</t>
  </si>
  <si>
    <t>Alterar prestação de contas</t>
  </si>
  <si>
    <t>PC_INCLUIR</t>
  </si>
  <si>
    <t>PC_CHECAR_PENDENCIA</t>
  </si>
  <si>
    <t>PC_RESUMO_GERAL</t>
  </si>
  <si>
    <t>PC_DESPESAS</t>
  </si>
  <si>
    <t>PC_ALTERAR</t>
  </si>
  <si>
    <t>PC_ENVIAR</t>
  </si>
  <si>
    <t>PC_EXCLUIR_ARQUIVO</t>
  </si>
  <si>
    <t>Excluir arquivos da prestação de contas</t>
  </si>
  <si>
    <t>ERR_PC_ARQUIVO_NAO_SELECIONADO</t>
  </si>
  <si>
    <t>Falha ao excluir</t>
  </si>
  <si>
    <t>Falha ao incluir prestação de contas</t>
  </si>
  <si>
    <t>ERR_PC_INCLUSAO</t>
  </si>
  <si>
    <t>Não é possível inserir uma nova prestação de contas quando já houver uma prestação de contas em ajuste.</t>
  </si>
  <si>
    <t>SIG_APEX.TB_FNX_STATUS_PREST_CONTA</t>
  </si>
  <si>
    <t>ID_STATUS_PREST_CONTA</t>
  </si>
  <si>
    <t>DS_STATUS_PREST_CONTA</t>
  </si>
  <si>
    <t>IN_STATUS_PREST_CONTA</t>
  </si>
  <si>
    <t>A</t>
  </si>
  <si>
    <t>Em Ajuste</t>
  </si>
  <si>
    <t>Enviada</t>
  </si>
  <si>
    <t>Em Análise</t>
  </si>
  <si>
    <t>Aprovada</t>
  </si>
  <si>
    <t>Rejeitada</t>
  </si>
  <si>
    <t>LANC_REALIZADO</t>
  </si>
  <si>
    <t>Lançamentos Realizados</t>
  </si>
  <si>
    <t>LANC_REALIZADO_DETALHAR</t>
  </si>
  <si>
    <t>LANC_REALIZADO_REGISTRAR_LOTE</t>
  </si>
  <si>
    <t>LANC_REALIZADO_EMITIR_XLS</t>
  </si>
  <si>
    <t>LANC_REALIZADO_EMITIR_PDF</t>
  </si>
  <si>
    <t>Detalhar Lançamentos</t>
  </si>
  <si>
    <t>Detalhar Lançamentos Realizados .</t>
  </si>
  <si>
    <t>Registrar em Lote</t>
  </si>
  <si>
    <t>Registro em Lote de Lançamentos Realizados</t>
  </si>
  <si>
    <t>Relatório em PDF</t>
  </si>
  <si>
    <t>Relatório em XLS</t>
  </si>
  <si>
    <t>Editar os Lançamentos Realizados</t>
  </si>
  <si>
    <t>LANC_REALIZADO_ALTERAR_LANCAMENTO</t>
  </si>
  <si>
    <t>Permite Edição dos Lançamentos Realizados</t>
  </si>
  <si>
    <t>ERR_PC_DT_FIM_INVALIDA</t>
  </si>
  <si>
    <t>ERR_VALOR_INVALIDO</t>
  </si>
  <si>
    <t>Valor inválido</t>
  </si>
  <si>
    <t>LBL_LANC_REAL</t>
  </si>
  <si>
    <t>CMD_LANC_REAL_DETALHAR</t>
  </si>
  <si>
    <t>Detalhar</t>
  </si>
  <si>
    <t>Detalhar Item Orçamentário</t>
  </si>
  <si>
    <t>CMD_LANC_REAL_REG_LOTE</t>
  </si>
  <si>
    <t>Registra Lançamentos Realizados em Lote</t>
  </si>
  <si>
    <t>Qt. Lanc.</t>
  </si>
  <si>
    <t>Vlr. Previsto Apex</t>
  </si>
  <si>
    <t>Tot. Contrapartida</t>
  </si>
  <si>
    <t>Vlr. Realizado Apex</t>
  </si>
  <si>
    <t>Vl. Cont. Fin.</t>
  </si>
  <si>
    <t>Vl. Cont. Econ.</t>
  </si>
  <si>
    <t>Saldo Ação</t>
  </si>
  <si>
    <t>Quantidade de Lançamentos Realizados</t>
  </si>
  <si>
    <t>Valor previsto Apex</t>
  </si>
  <si>
    <t>Percentual de conclusão Apex</t>
  </si>
  <si>
    <t>Percentual de contrapartida</t>
  </si>
  <si>
    <t>Total de contrapartida</t>
  </si>
  <si>
    <t>Valor realizado Apex</t>
  </si>
  <si>
    <t>Valor de contrapartida financeira</t>
  </si>
  <si>
    <t>Valor de contrapartida econômica</t>
  </si>
  <si>
    <t>Valor total do item</t>
  </si>
  <si>
    <t>Saldo da Ação</t>
  </si>
  <si>
    <t>LBL_LANC_REAL_QT_LANC</t>
  </si>
  <si>
    <t>LBL_LANC_REAL_VL_PREV_APEX</t>
  </si>
  <si>
    <t>LBL_LANC_REAL_PERC_APEX</t>
  </si>
  <si>
    <t>LBL_LANC_REAL_TOT_CONTRAPARTIDA</t>
  </si>
  <si>
    <t>LBL_LANC_REAL_PERC_CONTRAPARTIDA</t>
  </si>
  <si>
    <t>LBL_LANC_REAL_VL_REAL_APEX</t>
  </si>
  <si>
    <t>LBL_LANC_REAL_VL_CONTRAPARTIDA_ECO</t>
  </si>
  <si>
    <t>LBL_LANC_REAL_VL_CONTRAPARTIDA_FIN</t>
  </si>
  <si>
    <t>LBL_LANC_REAL_VL_TOTAL</t>
  </si>
  <si>
    <t>LBL_LANC_REAL_SALDO_ACAO</t>
  </si>
  <si>
    <t>LBL_LANC_REAL_LISTA_ACAO</t>
  </si>
  <si>
    <t>Lista de Ações do Projeto</t>
  </si>
  <si>
    <t>Itens Orçamentários</t>
  </si>
  <si>
    <t>LBL_LANC_REAL_SHUT_ITEM_ORC</t>
  </si>
  <si>
    <t>Vínculo dos Itens Orçamentários da Ação com o Lançamento Realizado</t>
  </si>
  <si>
    <t>LBL_LANC_REAL_PGTO_SEM_CONTRATO</t>
  </si>
  <si>
    <t>Pagamento sem contrato?</t>
  </si>
  <si>
    <t>Este pagamento não possui um contrato?</t>
  </si>
  <si>
    <t>LBL_LANC_REAL_CONTRATO</t>
  </si>
  <si>
    <t>Contrato</t>
  </si>
  <si>
    <t>Código do Contrato</t>
  </si>
  <si>
    <t>Moeda utilizada no pagamento</t>
  </si>
  <si>
    <t>LBL_LANC_REAL_MOEDA</t>
  </si>
  <si>
    <t>LBL_LANC_REAL_COTACAO</t>
  </si>
  <si>
    <t>LBL_LANC_REAL_FORNECEDOR</t>
  </si>
  <si>
    <t>Fornecedor</t>
  </si>
  <si>
    <t>LBL_LANC_REAL_VL_APEX</t>
  </si>
  <si>
    <t>Centro de Custo</t>
  </si>
  <si>
    <t>Centro de Custo do Lançamento</t>
  </si>
  <si>
    <t>LBL_LANC_REAL_CENTRO_CUSTO</t>
  </si>
  <si>
    <t>LBL_LANC_REAL_CONTRAPARTIDA_FIN</t>
  </si>
  <si>
    <t>LBL_LANC_REAL_CONTRAPARTIDA_ECO</t>
  </si>
  <si>
    <t>Contrapartida Financeira</t>
  </si>
  <si>
    <t>Contrapartida Econômica</t>
  </si>
  <si>
    <t>LBL_LANC_REAL_ESPEC_SERVICO</t>
  </si>
  <si>
    <t>Nº Documento Fiscal</t>
  </si>
  <si>
    <t>Nº do Documento Fiscal</t>
  </si>
  <si>
    <t>LBL_LANC_REAL_DT_EMISSAO</t>
  </si>
  <si>
    <t>Data de Emissão</t>
  </si>
  <si>
    <t>Data de Emissão do Documento</t>
  </si>
  <si>
    <t>LBL_LANC_REAL_DT_PAGAMENTO</t>
  </si>
  <si>
    <t>Data de Pagamento</t>
  </si>
  <si>
    <t>Data de Pagamento do Lançamento</t>
  </si>
  <si>
    <t>Nº Documento Bancário de Pagamento</t>
  </si>
  <si>
    <t>Nº do Documento Bancário de Pagamento</t>
  </si>
  <si>
    <t>LBL_LANC_REAL_REDUCAO_IMPOSTO</t>
  </si>
  <si>
    <t>Houve Redução ou Isenção de impostos?</t>
  </si>
  <si>
    <t>LBL_LANC_REAL_VL_IMPOSTO</t>
  </si>
  <si>
    <t>Valor de Impostos e Taxas de Remessa</t>
  </si>
  <si>
    <t>LBL_LANC_REAL_NUM_DOC_FISCAL</t>
  </si>
  <si>
    <t>LBL_LANC_REAL_NUM_DOC_BANCARIO</t>
  </si>
  <si>
    <t>LBL_LANC_REAL_NUM_DOC_COMP</t>
  </si>
  <si>
    <t>Nº Documento Comprobatório</t>
  </si>
  <si>
    <t>LBL_LANC_REAL_VL_APEX_MOEDA_ORIG</t>
  </si>
  <si>
    <t>Valor Apex na Moeda Original</t>
  </si>
  <si>
    <t>LBL_LANC_REAL_OBS</t>
  </si>
  <si>
    <t>CMD_LANC_REAL_INSERIR</t>
  </si>
  <si>
    <t>Inserir</t>
  </si>
  <si>
    <t>Inserir novo Lançamento</t>
  </si>
  <si>
    <t>CMD_LANC_REAL_GRAVAR</t>
  </si>
  <si>
    <t>Gravar todos os lançamentos</t>
  </si>
  <si>
    <t>CMD_LANC_REAL_EXCLUIR</t>
  </si>
  <si>
    <t>Excluir o lançamento selecionado</t>
  </si>
  <si>
    <t>CMD_LANC_REAL_FECHAR</t>
  </si>
  <si>
    <t>Retorna à lista dos Lançamentos Realizados</t>
  </si>
  <si>
    <t>CMD_LANC_REAL_NOVO</t>
  </si>
  <si>
    <t>Novo</t>
  </si>
  <si>
    <t>Cria um novo Lançamento</t>
  </si>
  <si>
    <t>CMD_LANC_REAL_INCLUIR_ALTERAR</t>
  </si>
  <si>
    <t>Incluir/Alterar</t>
  </si>
  <si>
    <t>Inclui/Altera um registro</t>
  </si>
  <si>
    <t>CMD_LANC_REAL_LIMPAR</t>
  </si>
  <si>
    <t>Limpa o formulário</t>
  </si>
  <si>
    <t>CMD_LANC_REAL_GRAVAR_FECHAR</t>
  </si>
  <si>
    <t>Gravar e Fechar</t>
  </si>
  <si>
    <t>Grava os lançamentos e retorna à lista do Lançamentos Realizados</t>
  </si>
  <si>
    <t>Parâmetro não informado</t>
  </si>
  <si>
    <t>Um parâmetro requerido não foi informado.</t>
  </si>
  <si>
    <t>O valor informado não é um número.</t>
  </si>
  <si>
    <t>Prestação de conta incluída.</t>
  </si>
  <si>
    <t>Selecione uma prestação de contas.</t>
  </si>
  <si>
    <t>A data final da aplicação de recursos deve ser informada.</t>
  </si>
  <si>
    <t>A data final da aplicação de recursos não deve ser maior que a data de término do projeto.</t>
  </si>
  <si>
    <t>Selecione um arquivo.</t>
  </si>
  <si>
    <t>A data fim da prestação de contas não pode ser superior à data do convênio.</t>
  </si>
  <si>
    <t>ERR_PARAM_NAO_INFORMADO</t>
  </si>
  <si>
    <t>Sem lançamentos para compor a prestação de contas</t>
  </si>
  <si>
    <t>Sem lançamentos</t>
  </si>
  <si>
    <t>ERR_PC_SEM_LANCAMENTOS</t>
  </si>
  <si>
    <t>Convênio sem data de início</t>
  </si>
  <si>
    <t>ERR_PC_SEM_DT_INICIO</t>
  </si>
  <si>
    <t>Não é possível incluir nova prestação de contas. Limite excedido.</t>
  </si>
  <si>
    <t>ERR_PC_LIMITE_EXCEDIDO</t>
  </si>
  <si>
    <t>GST_FINANC_AUTOR_DESEMB</t>
  </si>
  <si>
    <t>Solicitar autorização de pagamento de desembolso</t>
  </si>
  <si>
    <t>CMD_GST_FIN_AUTOR_DESEMB</t>
  </si>
  <si>
    <t>Solicita autorização de pagamento de desembolso</t>
  </si>
  <si>
    <t>Solicitação não permitida</t>
  </si>
  <si>
    <t>Solicitação de Autorização de Pagamento de Desembolso enviada para fila de aprovação.</t>
  </si>
  <si>
    <t>GST_FIN_SOLICIT_ENVIADA</t>
  </si>
  <si>
    <t>LBL_LANC_REAL_DETALHAR_CONVENIO</t>
  </si>
  <si>
    <t>Detalhar Convênio</t>
  </si>
  <si>
    <t>LBL_LANC_REAL_DETALHAR_CONTRATO</t>
  </si>
  <si>
    <t>Detalhar Contrato</t>
  </si>
  <si>
    <t>LBL_LANC_REAL_INSERIR_LANCAMENTO</t>
  </si>
  <si>
    <t>Inserir Lançamento</t>
  </si>
  <si>
    <t>SIG_APEX.TB_SGP_STATUS_PAGAMENTO</t>
  </si>
  <si>
    <t>ID_STATUS_PAGAMENTO</t>
  </si>
  <si>
    <t>IN_STATUS_STATUS_PAGAMENTO</t>
  </si>
  <si>
    <t>Aguardando Aprovação</t>
  </si>
  <si>
    <t>Aprovação em Progresso</t>
  </si>
  <si>
    <t>Pagamento Estornado</t>
  </si>
  <si>
    <t>Rejeitado Financeiro</t>
  </si>
  <si>
    <t>Pago Convênio</t>
  </si>
  <si>
    <t>ERR_GST_FIN_SOLIC_NEGADA</t>
  </si>
  <si>
    <t>Não é permitido enviar a solicitação de autorização de desembolso para a situação de pagamento atual.</t>
  </si>
  <si>
    <t>Falha ao montar a composição</t>
  </si>
  <si>
    <t>Não há lancamentos para a composição.</t>
  </si>
  <si>
    <t>ERR_GST_FIN_SEM_LANCAMENTO</t>
  </si>
  <si>
    <t>Obrigatoriedade de auditoria externa.</t>
  </si>
  <si>
    <t>CMD_LANC_REAL_ACAO_ITEM</t>
  </si>
  <si>
    <t>Alterar Item/Ação</t>
  </si>
  <si>
    <t>DT_CADAST_STATUS_PAGAMENTO</t>
  </si>
  <si>
    <t>DS_STATUS_PAGAMENTO</t>
  </si>
  <si>
    <t>SIG_APEX.TB_FNX_STATUS_DESEMP_PROJETO</t>
  </si>
  <si>
    <t>No Prazo</t>
  </si>
  <si>
    <t>Atrasado</t>
  </si>
  <si>
    <t>ID_STATUS_DESEMP_PROJETO</t>
  </si>
  <si>
    <t>DS_STATUS_DESEMP_PROJETO</t>
  </si>
  <si>
    <t>DT_CAD_STATUS_DESEMP_PROJETO</t>
  </si>
  <si>
    <t>IN_STATUS_DESEMP_PROJETO</t>
  </si>
  <si>
    <t>PERC_EXEC_APEX</t>
  </si>
  <si>
    <t>70</t>
  </si>
  <si>
    <t>Percentual de execução de valor Apex</t>
  </si>
  <si>
    <t>Não foi possível concluir a operação de checar pendências da prestação de contas.</t>
  </si>
  <si>
    <t>ERR_PC_CHECAR_PENDENCIA</t>
  </si>
  <si>
    <t>Não é possível enviar prestação de contas com pendências impeditivas.</t>
  </si>
  <si>
    <t>Falha ao enviar prestação de contas</t>
  </si>
  <si>
    <t>Falha ao checar pendências da prestação de conta</t>
  </si>
  <si>
    <t>Valor Apex e/ou valor contrapartida não definidos.</t>
  </si>
  <si>
    <t>ERR_PC_PENDENCIA_IMPEDITIVA</t>
  </si>
  <si>
    <t>ERR_PC_VALOR_INDEFINIDO</t>
  </si>
  <si>
    <t>O percentual de execução Apex (%s) ou Contrapartida (%s) não foi atingido para esta prestação de contas. Deseja reamente enviá-la?</t>
  </si>
  <si>
    <t>PC_CONFIRMAR_ENVIO</t>
  </si>
  <si>
    <t>Data final menor que data de início da aplicação</t>
  </si>
  <si>
    <t>ERR_PC_DTFINAL_MENOR</t>
  </si>
  <si>
    <t>ERR_EXISTE_ACAO_CANCELADA</t>
  </si>
  <si>
    <t>Não é possível concluir a operação. Existe uma ou mais ações canceladas.</t>
  </si>
  <si>
    <t>PC_SEM_PENDENCIA</t>
  </si>
  <si>
    <t>Checar pendências de prestação de contas</t>
  </si>
  <si>
    <t>Não encontradas pendências de prestação de contas</t>
  </si>
  <si>
    <t>SERVIDOR_UCM_COM_PORTA</t>
  </si>
  <si>
    <t>http://10.10.1.93:16200</t>
  </si>
  <si>
    <t>IP e porta do servidor de UCM para upload dos arquivos.</t>
  </si>
  <si>
    <t>ICO_APEX.TB_ICO_NIVEL_HIERARQUICO</t>
  </si>
  <si>
    <t>ID_NIVEL_HIERARQUICO</t>
  </si>
  <si>
    <t>DS_NIVEL_HIERARQUICO</t>
  </si>
  <si>
    <t>DT_CADASTRO</t>
  </si>
  <si>
    <t>Diretoria</t>
  </si>
  <si>
    <t>Gerência Executiva</t>
  </si>
  <si>
    <t>Gerência</t>
  </si>
  <si>
    <t>Coordenação</t>
  </si>
  <si>
    <t>Colaborador</t>
  </si>
  <si>
    <t>SERVIDOR_GEN_REPORT_COM_PORTA</t>
  </si>
  <si>
    <t>http://10.10.1.93:7001</t>
  </si>
  <si>
    <t>IP e porta do servidor com o serviço de geração de relatórios BIRT.</t>
  </si>
  <si>
    <t>URL_BPM_WORKSPACE</t>
  </si>
  <si>
    <t>http://10.10.1.93:8001/bpm/workspace</t>
  </si>
  <si>
    <t>Endereço para acesso do Oracle BPM Workspace.</t>
  </si>
  <si>
    <t>ID_PESSOA_LOG</t>
  </si>
  <si>
    <t>Prestaçao de contas sem lançamentos</t>
  </si>
  <si>
    <t>ERR_PC_FILTRAR_LANCAMENTO</t>
  </si>
  <si>
    <t>Falha ao filtrar lançamentos</t>
  </si>
  <si>
    <t>ERR_LEITURA_ARQUIVO</t>
  </si>
  <si>
    <t>Falha ao ler arquivo</t>
  </si>
  <si>
    <t>O arquivo selecionado não é do tipo esperado.</t>
  </si>
  <si>
    <t>ERR_TIPO_ARQ_INCORRETO</t>
  </si>
  <si>
    <t>O arquivo selecionado não pode possuir espaços no nome.</t>
  </si>
  <si>
    <t>ERR_NOME_ARQ_INVALIDO</t>
  </si>
  <si>
    <t>Falha ao excluir documento</t>
  </si>
  <si>
    <t>Erro de leitura</t>
  </si>
  <si>
    <t>ERR_EXCLUIR_DOC</t>
  </si>
  <si>
    <t>ERR_EXCLUIR_DOC_LEITURA</t>
  </si>
  <si>
    <t>Documento excluído com sucesso</t>
  </si>
  <si>
    <t>PC_DOCUMENTO_EXCLUIDO</t>
  </si>
  <si>
    <t>Falha ao recuperar documento</t>
  </si>
  <si>
    <t>Erro com o serviço ECM</t>
  </si>
  <si>
    <t>ERR_PC_SERVICO_ECM</t>
  </si>
  <si>
    <t>ERR_PC_ERRO_LEITURA_ECM</t>
  </si>
  <si>
    <t>Documento não selecionado</t>
  </si>
  <si>
    <t>ERR_PC_DOC_NAO_SELECIONADO</t>
  </si>
  <si>
    <t>CMD_PC_VISUALIZAR</t>
  </si>
  <si>
    <t>Visualizar</t>
  </si>
  <si>
    <t>Visualizar documento</t>
  </si>
  <si>
    <t>ERR_PC_CHECAR_SEM_LANC</t>
  </si>
  <si>
    <t>Valor Prev.</t>
  </si>
  <si>
    <t>Valor realizado</t>
  </si>
  <si>
    <t>Valor Real.</t>
  </si>
  <si>
    <t>LBL_TITULO_DESEMB_APAGAR</t>
  </si>
  <si>
    <t>LBL_TXT_DESEMB_APAGAR</t>
  </si>
  <si>
    <t>Para seu conhecimento, os desembolsos abaixo tiveram seu processo de pagamento iniciado automaticamente. A previsão de pagamento é até o dia %s</t>
  </si>
  <si>
    <t>Fenix - Desembolsos previstos ate %s.</t>
  </si>
  <si>
    <t>LANCAMENTO_GRAVADO</t>
  </si>
  <si>
    <t>Lançamento gravado com sucesso!</t>
  </si>
  <si>
    <t>LBL_ANEXOS_PERMITIDOS</t>
  </si>
  <si>
    <t>SEND_EMAIL_DESEMBOLSO_APAGAR</t>
  </si>
  <si>
    <t>TRUE</t>
  </si>
  <si>
    <t>Indica se será enviado email com desembolsos a pagar</t>
  </si>
  <si>
    <t>PC_VISUALIZAR_DOCUMENTO</t>
  </si>
  <si>
    <t>Visualizar documento.</t>
  </si>
  <si>
    <t>ERR_NAO_EXISTE_PERFIL_ICO</t>
  </si>
  <si>
    <t>Não foi encontrado o pefil correspondente no ICO</t>
  </si>
  <si>
    <t>Não existe o perfil no correspondente no ICO ou não está cadastrado o na tabela DE_PARA do Fênix</t>
  </si>
  <si>
    <t>CAMINHO_DOCUMENTOS</t>
  </si>
  <si>
    <t>Caminho para acesso aos documentos gerados pelo SIG</t>
  </si>
  <si>
    <t>TITULO_DESEMB_APAGAR</t>
  </si>
  <si>
    <t>Assunto do email de desembolsos a pagar</t>
  </si>
  <si>
    <t>NUM_MIN_DIAS_ALERTA_DESEMBOLSO</t>
  </si>
  <si>
    <t>4</t>
  </si>
  <si>
    <t>Número mínimo de dias de antecedência para previsão de pagamento para emissão de email de alerta</t>
  </si>
  <si>
    <t>Número máximo de dias de antecedência para previsão de pagamento para emissão de email de alerta</t>
  </si>
  <si>
    <t>NUM_MAX_DIAS_ALERTA_DESEMBOLSO</t>
  </si>
  <si>
    <t>EMAIL_DPG</t>
  </si>
  <si>
    <t>Email do coordenador DPG</t>
  </si>
  <si>
    <t>PC_DOCUMENTO_NAO_SELECIONADO</t>
  </si>
  <si>
    <t>É preciso selecionar um documento para esta operação.</t>
  </si>
  <si>
    <t>GST_FIN_CONV</t>
  </si>
  <si>
    <t>Gestão Financeira do Convêncio</t>
  </si>
  <si>
    <t>fenix.apexbrasil@gmail.com</t>
  </si>
  <si>
    <t>Existe referência a este lançamento na composição de prestação de conta.</t>
  </si>
  <si>
    <t xml:space="preserve">Não foi possível excluir o registro. </t>
  </si>
  <si>
    <t>ERR_EXCLUIR_LANCAMENTO</t>
  </si>
  <si>
    <t>PAREC_PREST_CONTAS</t>
  </si>
  <si>
    <t>AUTOR_PAGAM_DESEMB</t>
  </si>
  <si>
    <t>CHECAR_PEND_ORCAM</t>
  </si>
  <si>
    <t>REALIZAR_LANCAM</t>
  </si>
  <si>
    <t>Parecer de Prestação de Contas</t>
  </si>
  <si>
    <t>Autorização de Pagamentos e Desembolsos</t>
  </si>
  <si>
    <t>Checar Pendências de Orçamento</t>
  </si>
  <si>
    <t>Realizar Lançamento</t>
  </si>
  <si>
    <t>MEM_CALCULO_CONCLUIR_FINANC</t>
  </si>
  <si>
    <t>Concluir financeiro</t>
  </si>
  <si>
    <t>MEM_CALC_CONCLUSAO_REALIZADA</t>
  </si>
  <si>
    <t>Conclusão financeira realizada com sucesso</t>
  </si>
  <si>
    <t>Não é possível concluir financeiramente uma ação de um projeto em simulação.</t>
  </si>
  <si>
    <t>Falha ao concluir a ação</t>
  </si>
  <si>
    <t>ERR_MEM_CALC_SIMULACAO</t>
  </si>
  <si>
    <t>Não é possível concluir financeiramente a ação pois o projeto original não se encontra em execução.</t>
  </si>
  <si>
    <t>ERR_MEM_CALC_NAO_EXECUCAO</t>
  </si>
  <si>
    <t>Não é possível concluir financeiramente uma ação Cancelada, Concluída ou Concluída Financeiramente.</t>
  </si>
  <si>
    <t>ERR_MEM_CALC_STATUS_INCORRETO</t>
  </si>
  <si>
    <t>Não é possível concluir financeiramente esta ação, pois existe uma mudança orçamentária em andamento que a envolve.</t>
  </si>
  <si>
    <t>ERR_MEM_CALC_EXISTE_MUDANCA</t>
  </si>
  <si>
    <t>LBL_CONCLUIR_FINANC</t>
  </si>
  <si>
    <t>O valor dos desembolsos da parcela é diferente do valor Apex dos itens orçamentários da memória de Cálculo.</t>
  </si>
  <si>
    <t>ERR_EXCLUSAO_PRIMEIRA_PARCELA</t>
  </si>
  <si>
    <t>Parcela não pode ser excluída</t>
  </si>
  <si>
    <t>Primeira parcela não pode ser excluída</t>
  </si>
  <si>
    <t>Valor previsto (R$)</t>
  </si>
  <si>
    <t>Valor previsto (R$).</t>
  </si>
  <si>
    <t>ERR_MEM_CALC_DESCRICAO</t>
  </si>
  <si>
    <t>Descrição informada inválida.</t>
  </si>
  <si>
    <t>A descrição do detalhe de item orçamentário não pode ser vazia.</t>
  </si>
  <si>
    <t>Indica se o item orçamentário ou detalhe de item orçamentário será pago com recursos externos.</t>
  </si>
  <si>
    <t>Mês/ano de previsão de pagamento do item orçamentário ou do detalhe de item orçamentário. Informe "*" para ver os valores válidos.</t>
  </si>
  <si>
    <t>Número da parcela referente ao mês/ano pagamento do item orçamentário ou detalhe de item orçamentário.</t>
  </si>
  <si>
    <t>Valor unitário do item orçamentário ou do detalhe de item orçamentário.</t>
  </si>
  <si>
    <t>Valor Apex do item orçamentário ou do detalhe de item orçamentário.</t>
  </si>
  <si>
    <t>Valor de contrapartida econômica.</t>
  </si>
  <si>
    <t>Valor total do item orçamentário ou do detalhe de item orçamentário.</t>
  </si>
  <si>
    <t>Adiciona um item orçamentário padrão para a ação selecionada ou um detalhe para o item orçamentário selecionado.</t>
  </si>
  <si>
    <t>Exclui o item orçamentário ou detalhe de item orçamentário selecionado.</t>
  </si>
  <si>
    <t>ERR_MEM_VAL_QTDE_ITEM</t>
  </si>
  <si>
    <t>Valor acima do máximo permitido</t>
  </si>
  <si>
    <t>Informe um valor de até 4 dígitos.</t>
  </si>
  <si>
    <t>ERR_MEM_VAL_NAO_EH_NUMERO</t>
  </si>
  <si>
    <t>Falha na validação</t>
  </si>
  <si>
    <t>Valor não é número.</t>
  </si>
  <si>
    <t>ERR_MEM_VAL_UNIT_ITEM</t>
  </si>
  <si>
    <t>Informe um valor de até 15 dígitos.</t>
  </si>
  <si>
    <t>ERR_MEM_VAL_PC_APEX</t>
  </si>
  <si>
    <t>Informe um valor entre 0 e 100</t>
  </si>
  <si>
    <t>ERR_MEM_VAL_VL_APEX</t>
  </si>
  <si>
    <t>ERR_MEM_VAL_VL_CONTR_ECON</t>
  </si>
  <si>
    <t>ERR_MEM_VAL_VL_CONTR_FINAN</t>
  </si>
  <si>
    <t>ERR_MEM_ITEM_SEL_INVALIDO</t>
  </si>
  <si>
    <t>O registro selecionado na memória de cálculo não corresponde a uma ação ou a um item orçamentário.</t>
  </si>
  <si>
    <t>ERR_MEM_MOEDAS_NAO_CARREGADAS</t>
  </si>
  <si>
    <t>A lista de moedas habilitadas para o projeto nao foi definida, por favor, entre em contato com a TI para solucionar esse problema.</t>
  </si>
  <si>
    <t>Adicionar Itens Orçamentários Padrão</t>
  </si>
  <si>
    <t>Itens Padrão Disponíveis</t>
  </si>
  <si>
    <t>Itens Disponíveis</t>
  </si>
  <si>
    <t>Itens Selecionados</t>
  </si>
  <si>
    <t>LBL_MEM_CALC_TITULO_POPUP_IOP</t>
  </si>
  <si>
    <t>LBL_MEM_CALC_SHUTTLE_IOP</t>
  </si>
  <si>
    <t>LBL_MEM_CALC_SHUTTLE_IOP_DISP</t>
  </si>
  <si>
    <t>LBL_MEM_CALC_SHUTTLE_IOP_SEL</t>
  </si>
  <si>
    <t>LBL_MEM_CALC_EXPLICACAO_IMG</t>
  </si>
  <si>
    <t>Explicação</t>
  </si>
  <si>
    <t>ERR_MEM_DET_OBR</t>
  </si>
  <si>
    <t>Para atualizar os valores deste item orçamentário você deve adicionar, remover, alterar seus itens de detalhamento ou convertê-lo em detalhe.</t>
  </si>
  <si>
    <t>ERR_MEM_CALC_MES_PARC_REQ</t>
  </si>
  <si>
    <t>Você deve informar um mês/ano válido para continuar.</t>
  </si>
  <si>
    <t>TIME_ENVIAR_DESEMB_APAGAR</t>
  </si>
  <si>
    <t>08:00</t>
  </si>
  <si>
    <t>Hora de execução da rotina de envido de desembolsos a pagar</t>
  </si>
  <si>
    <t>Enviar desembolsos a pagar</t>
  </si>
  <si>
    <t>MNT_EMAIL_DESEMB</t>
  </si>
  <si>
    <t>/arquivos</t>
  </si>
  <si>
    <t>PC_INCLUIR_ARQUIVO</t>
  </si>
  <si>
    <t>Incluir arquivos da prestação de contas</t>
  </si>
  <si>
    <t>Quantidade de ações</t>
  </si>
  <si>
    <t>Valor Apex Moeda Original</t>
  </si>
  <si>
    <t xml:space="preserve">ERR_AC_DTFINAL_MENOR  </t>
  </si>
  <si>
    <t xml:space="preserve">ERR_AC_DTFINAL_MAIOR  </t>
  </si>
  <si>
    <t>ERR_AC_DTINICIAL_MENOR</t>
  </si>
  <si>
    <t>A data final da Ação deve ser maior que a data inicial da Ação.</t>
  </si>
  <si>
    <t xml:space="preserve">A data final da Ação deve ser menor ou igual à data final do projeto. </t>
  </si>
  <si>
    <t>As datas de início e conclusão devem estar dentro do período do projeto.</t>
  </si>
  <si>
    <t>LBL_AC_ACAO_EVENTO</t>
  </si>
  <si>
    <t>Ações e eventos</t>
  </si>
  <si>
    <t>Status da ação</t>
  </si>
  <si>
    <t>Selecione um status da ação</t>
  </si>
  <si>
    <t>Tipo da ação</t>
  </si>
  <si>
    <t>Selecione um tipo da ação</t>
  </si>
  <si>
    <t>Nome da ação</t>
  </si>
  <si>
    <t>Selecione uma ação</t>
  </si>
  <si>
    <t>Período entre</t>
  </si>
  <si>
    <t>Informe a data de término da ação</t>
  </si>
  <si>
    <t>Informe a data de início da ação</t>
  </si>
  <si>
    <t>e</t>
  </si>
  <si>
    <t>Pesquisar ações do projeto</t>
  </si>
  <si>
    <t>Concluir</t>
  </si>
  <si>
    <t>Incluir uma ação</t>
  </si>
  <si>
    <t>Editar a ação selecionada</t>
  </si>
  <si>
    <t>Cancelar a ação selecionada</t>
  </si>
  <si>
    <t>Excluir a ação selecionada</t>
  </si>
  <si>
    <t>Concluir a ação selecionada</t>
  </si>
  <si>
    <t>Responsável</t>
  </si>
  <si>
    <t>Data início</t>
  </si>
  <si>
    <t>Data término</t>
  </si>
  <si>
    <t>Data de conclusão</t>
  </si>
  <si>
    <t>Ação sem custo</t>
  </si>
  <si>
    <t>Perc. Conclusão</t>
  </si>
  <si>
    <t>LBL_AC_PERC_CONCLUSAO</t>
  </si>
  <si>
    <t>Informe o nome da ação</t>
  </si>
  <si>
    <t>Informe o tipo da ação</t>
  </si>
  <si>
    <t>Informe o responsável pela ação</t>
  </si>
  <si>
    <t>Informe a data término da ação</t>
  </si>
  <si>
    <t>Informe a data de conclusão da ação</t>
  </si>
  <si>
    <t>Informe se a ação é sem custo</t>
  </si>
  <si>
    <t>Informe o status da ação</t>
  </si>
  <si>
    <t>Informe o percentual de conclusão</t>
  </si>
  <si>
    <t>LBL_SELECIONE</t>
  </si>
  <si>
    <t>Selecione</t>
  </si>
  <si>
    <t>AC_INCLUIR</t>
  </si>
  <si>
    <t>AC_EXCLUIR</t>
  </si>
  <si>
    <t>AC_CANCELAR</t>
  </si>
  <si>
    <t>AC_ALTERAR</t>
  </si>
  <si>
    <t>AC_CONCLUIR</t>
  </si>
  <si>
    <t>Incluir ação</t>
  </si>
  <si>
    <t>Excluir ação</t>
  </si>
  <si>
    <t>Cancelar ação</t>
  </si>
  <si>
    <t>Alterar ação</t>
  </si>
  <si>
    <t>Concluir ação</t>
  </si>
  <si>
    <t>MNT_ACAO_EVENTO</t>
  </si>
  <si>
    <t>Gerenciar ações</t>
  </si>
  <si>
    <t>LBL_AC_SEL_STATUS</t>
  </si>
  <si>
    <t>LBL_AC_SEL_TIPO</t>
  </si>
  <si>
    <t>LBL_AC_SEL_NOME</t>
  </si>
  <si>
    <t>LBL_AC_SEL_DTINICIO</t>
  </si>
  <si>
    <t>LBL_AC_SEL_DTTERMINO</t>
  </si>
  <si>
    <t>CMD_AC_PESQUISAR</t>
  </si>
  <si>
    <t>CMD_AC_EDITAR</t>
  </si>
  <si>
    <t>CMD_AC_INCLUIR</t>
  </si>
  <si>
    <t>CMD_AC_EXCLUIR</t>
  </si>
  <si>
    <t>CMD_AC_CONCLUIR</t>
  </si>
  <si>
    <t>LBL_AC_NOME_ACAO</t>
  </si>
  <si>
    <t>LBL_AC_TIPO_ACAO</t>
  </si>
  <si>
    <t>LBL_AC_RESPONSAVEL</t>
  </si>
  <si>
    <t>LBL_AC_DTINICIO</t>
  </si>
  <si>
    <t>LBL_AC_DTTERMINO</t>
  </si>
  <si>
    <t>LBL_AC_DTCONCLUSAO</t>
  </si>
  <si>
    <t>LBL_AC_SEM_CUSTO</t>
  </si>
  <si>
    <t>LBL_AC_STATUS</t>
  </si>
  <si>
    <t>Eventos da ação</t>
  </si>
  <si>
    <t>Planejamento da ação</t>
  </si>
  <si>
    <t>Escopo da ação</t>
  </si>
  <si>
    <t>Responsável pela ação</t>
  </si>
  <si>
    <t>Data de início de preparação</t>
  </si>
  <si>
    <t>Data de conclusão da avaliação</t>
  </si>
  <si>
    <t>Data de início do projeto</t>
  </si>
  <si>
    <t>Data de fim do projeto</t>
  </si>
  <si>
    <t>Status da tarefa</t>
  </si>
  <si>
    <t>Percentual de execução</t>
  </si>
  <si>
    <t>Participantes da ação</t>
  </si>
  <si>
    <t>No. previsto de empresas</t>
  </si>
  <si>
    <t>Participantes do projeto</t>
  </si>
  <si>
    <t>Detalhes</t>
  </si>
  <si>
    <t>LBL_AC_EDT_TIPO_ACAO</t>
  </si>
  <si>
    <t>LBL_AC_EDT_NOME_ACAO</t>
  </si>
  <si>
    <t>LBL_AC_EDT_EVENTOS_ACAO</t>
  </si>
  <si>
    <t>LBL_AC_EDT_PLANEJAMENTO_ACAO</t>
  </si>
  <si>
    <t>LBL_AC_EDT_ESCOPO_ACAO</t>
  </si>
  <si>
    <t>LBL_AC_EDT_RESP_ACAO</t>
  </si>
  <si>
    <t>LBL_AC_EDT_DTCONCLUSAO_AVAL</t>
  </si>
  <si>
    <t>LBL_AC_EDT_DTINICIO_PROJETO</t>
  </si>
  <si>
    <t>LBL_AC_EDT_DTFIM_PROJETO</t>
  </si>
  <si>
    <t>LBL_AC_EDT_STATUS_TAREFA</t>
  </si>
  <si>
    <t>LBL_AC_EDT_PERC_EXECUCAO</t>
  </si>
  <si>
    <t>LBL_AC_EDT_PARTICIPANTES_ACAO</t>
  </si>
  <si>
    <t>LBL_AC_EDT_NUM_PREV_EMPRESAS</t>
  </si>
  <si>
    <t>LBL_AC_EDT_PARTICIPANTES_PROJETO</t>
  </si>
  <si>
    <t>LBL_AC_EDT_DETALHES</t>
  </si>
  <si>
    <t>LBL_AC_EDT_DTINICIO_PREPARACAO</t>
  </si>
  <si>
    <t>Participantes</t>
  </si>
  <si>
    <t>LBL_AC_EDT_PARTICIPANTES</t>
  </si>
  <si>
    <t>LBL_AC_EDT_ACAO_SEM_CUSTO</t>
  </si>
  <si>
    <t>LBL_AC_EDT_ITENS_ORCAM</t>
  </si>
  <si>
    <t>Indica se a acao possui custos</t>
  </si>
  <si>
    <t>Itens orçamentários</t>
  </si>
  <si>
    <t>Itens orçamentários da ação</t>
  </si>
  <si>
    <t>Nome oficial</t>
  </si>
  <si>
    <t>Datas confirmadas</t>
  </si>
  <si>
    <t>Última atualização</t>
  </si>
  <si>
    <t>País</t>
  </si>
  <si>
    <t>Cidade</t>
  </si>
  <si>
    <t>Site do evento</t>
  </si>
  <si>
    <t>Produtos/Serviços promovidos</t>
  </si>
  <si>
    <t>Perfil dos visitantes</t>
  </si>
  <si>
    <t>Abrangência geográfica e importância para o Setor</t>
  </si>
  <si>
    <t>Informações adicionais do Evento Ajuda</t>
  </si>
  <si>
    <t>Data de início do evento</t>
  </si>
  <si>
    <t>Data de término do evento</t>
  </si>
  <si>
    <t>Data fim</t>
  </si>
  <si>
    <t>País do evento</t>
  </si>
  <si>
    <t>Cidade do evento</t>
  </si>
  <si>
    <t>LBL_AC_EV_NOME_OFICIAL</t>
  </si>
  <si>
    <t>LBL_AC_EV_DT_INICIO</t>
  </si>
  <si>
    <t>LBL_AC_EV_DT_FIM</t>
  </si>
  <si>
    <t>LBL_AC_EV_DT_CONFIRMADAS</t>
  </si>
  <si>
    <t>LBL_AC_EV_ULTIMA_ATUALIZACAO</t>
  </si>
  <si>
    <t>LBL_AC_EV_PAIS</t>
  </si>
  <si>
    <t>LBL_AC_EV_CIDADE</t>
  </si>
  <si>
    <t>LBL_AC_EV_SITE_EVENTO</t>
  </si>
  <si>
    <t>LBL_AC_EV_PROD_SERV_PROMOVIDOS</t>
  </si>
  <si>
    <t>LBL_AC_EV_PERFIL_VISITANTES</t>
  </si>
  <si>
    <t>LBL_AC_EV_ABRANG_GEO_IMPORT_SETOR</t>
  </si>
  <si>
    <t>LBL_AC_EV_INFO_EVENTO_AJUDA</t>
  </si>
  <si>
    <t>CMD_AC_CANCELAR</t>
  </si>
  <si>
    <t>CMD_AC_EXCLUIR_EVENTO</t>
  </si>
  <si>
    <t>CMD_AC_CANCELAR_EVENTO</t>
  </si>
  <si>
    <t>Cancelar o evento selecionado.</t>
  </si>
  <si>
    <t>Excluir o evento selecionado.</t>
  </si>
  <si>
    <t>Informação opcional para este tipo de ação</t>
  </si>
  <si>
    <t>Informação obrigatória para este tipo de ação (*)</t>
  </si>
  <si>
    <t>LBL_AC_INFO_OBRIGATORIO</t>
  </si>
  <si>
    <t>LBL_AC_INFO_OPCIONAL</t>
  </si>
  <si>
    <t>CMD_AC_VISUALIZAR</t>
  </si>
  <si>
    <t>Visualizar a ação selecionada.</t>
  </si>
  <si>
    <t>CMD_AC_EVENTO_VISUALIZAR</t>
  </si>
  <si>
    <t>Visualizar o evento selecionado.</t>
  </si>
  <si>
    <t>CMD_AC_EVENTO_EDITAR</t>
  </si>
  <si>
    <t>Editar o evento selecionado.</t>
  </si>
  <si>
    <t>Editar ação</t>
  </si>
  <si>
    <t>Visualizar ação</t>
  </si>
  <si>
    <t>LBL_AC_EDITAR</t>
  </si>
  <si>
    <t>LBL_AC_VISUALIZAR</t>
  </si>
  <si>
    <t>Falha ao realizar pesquisa</t>
  </si>
  <si>
    <t>ERR_AC_PESQ_DTFINAL_AUSENTE</t>
  </si>
  <si>
    <t>ERR_AC_PESQ_DTINICIO_AUSENTE</t>
  </si>
  <si>
    <t>ERR_AC_PESQ_DTFIM_MAIOR</t>
  </si>
  <si>
    <t>ERR_AC_EVENTO_NAO_DEFINIDO</t>
  </si>
  <si>
    <t>ERR_AC_PARTIC_NAO_DEFINIDO</t>
  </si>
  <si>
    <t>Falha ao gravar</t>
  </si>
  <si>
    <t>Eventos não informados.</t>
  </si>
  <si>
    <t>Participantes não informados.</t>
  </si>
  <si>
    <t>LBL_AC_EVENTO_EDITAR</t>
  </si>
  <si>
    <t>LBL_AC_EVENTO_VISUALIZAR</t>
  </si>
  <si>
    <t>Visualizar evento</t>
  </si>
  <si>
    <t>Especifique uma data de término maior que data de início.</t>
  </si>
  <si>
    <t>Especifique a data de início.</t>
  </si>
  <si>
    <t>Especifique a data de término.</t>
  </si>
  <si>
    <t>Editar evento</t>
  </si>
  <si>
    <t>LBL_AC_EV_DESCRICAO</t>
  </si>
  <si>
    <t>Descrição do evento</t>
  </si>
  <si>
    <t>ERR_AC_EXCLUSAO_POSSUI_LANC</t>
  </si>
  <si>
    <t>Não é possível excluir esta ação. Há lançamentos vinculados a ela.</t>
  </si>
  <si>
    <t>INFO_AC_CANCELADA</t>
  </si>
  <si>
    <t>INFO_AC_EXCLUIDA</t>
  </si>
  <si>
    <t>Ação cancelada</t>
  </si>
  <si>
    <t>Ação excluída</t>
  </si>
  <si>
    <t>A data inicial da ação deve ser maior ou igual à data de início do projeto.</t>
  </si>
  <si>
    <t>Valor não é uma data.</t>
  </si>
  <si>
    <t>A data inicial deve ser menor que data final.</t>
  </si>
  <si>
    <t>A data final da ação deve ser maior que a data inicial da ação.</t>
  </si>
  <si>
    <t>A data final da ação deve ser menor ou igual à data final do projeto.</t>
  </si>
  <si>
    <t>Data inicial do evento requerida.</t>
  </si>
  <si>
    <t>A data inicial do evento deve ser menor que data final.</t>
  </si>
  <si>
    <t>Período da ação não está definido.</t>
  </si>
  <si>
    <t>A data início do evento da ação deve ser maior que a data inicial da ação.</t>
  </si>
  <si>
    <t>Data final do evento requerida.</t>
  </si>
  <si>
    <t>Período do evento inválido.</t>
  </si>
  <si>
    <t>A data final do evento da ação deve ser menor ou igual à data final da ação.</t>
  </si>
  <si>
    <t>Entrada inválida</t>
  </si>
  <si>
    <t>ERR_AC_DT_INICIAL_AUSENTE</t>
  </si>
  <si>
    <t>ERR_AC_DT_INVALIDA</t>
  </si>
  <si>
    <t>ERR_AC_DTINICIAL_MENOR_DTFINAL</t>
  </si>
  <si>
    <t>ERR_AC_DT_FINAL_AUSENTE</t>
  </si>
  <si>
    <t>ERR_AC_DTFIM_EVENTO_MAIOR_DTFIM_ACAO</t>
  </si>
  <si>
    <t>ERR_AC_DTFIM_ACAO_MENOR_DTINICIO</t>
  </si>
  <si>
    <t>ERR_AC_DTFIM_ACAO_MAIOR_DTFIM_PROJ</t>
  </si>
  <si>
    <t>ERR_AC_DTINICIO_EVENTO_AUSENTE</t>
  </si>
  <si>
    <t>ERR_AC_DTINICIO_EVENTO_MAIOR_DTFIM</t>
  </si>
  <si>
    <t>ERR_AC_PERIODO_ACAO_INDEFINIDO</t>
  </si>
  <si>
    <t>ERR_AC_DTINICIO_EVENTO_MENOR_DTACAO</t>
  </si>
  <si>
    <t>ERR_AC_DTFIM_EVENTO_AUSENTE</t>
  </si>
  <si>
    <t>ERR_AC_DTINI_EVENTO_MAIOR_DTFINAL</t>
  </si>
  <si>
    <t>ERR_AC_PERIODO_EVENTO_INVALIDO</t>
  </si>
  <si>
    <t>Data inicial da ação requerida.</t>
  </si>
  <si>
    <t>Data final da ação requerida.</t>
  </si>
  <si>
    <t>Confimar</t>
  </si>
  <si>
    <t>Este lançamento está sujeito a devolução pois o mês da data do pagamento é diferente do mês da data do documento fiscal. Deseja cadastrar assim mesmo?</t>
  </si>
  <si>
    <t>MEM_CALC_CONF_DTPGTO</t>
  </si>
  <si>
    <t>ERR_PC_INCLUSAO_NAO_APROV</t>
  </si>
  <si>
    <t>Não é possível inserir uma nova prestação de contas se a prestação de contas anterior não estiver aprovada.</t>
  </si>
  <si>
    <t>ERR_GSTFIN_DESEMB_NAO_PG</t>
  </si>
  <si>
    <t>Desembolso anterior não foi pago.</t>
  </si>
  <si>
    <t>ERR_GSTFIN_DESEMB_NAO_APR</t>
  </si>
  <si>
    <t>Prestação de contas anterior não foi aprovada.</t>
  </si>
  <si>
    <t>ERR_GSTFIN_DESEMB_REQUERIDO</t>
  </si>
  <si>
    <t>Para essa operação, selecione um desembolso.</t>
  </si>
  <si>
    <t>ERR_GSTFIN_SOLICITACAO_PGTO</t>
  </si>
  <si>
    <t>Falha ao solicitar pagamento</t>
  </si>
  <si>
    <t>Falha ao enviar solicitação: ?</t>
  </si>
  <si>
    <t>MNT_ESTRATEGIA</t>
  </si>
  <si>
    <t>Manter estratégia</t>
  </si>
  <si>
    <t>ANALISAR_PROJETO</t>
  </si>
  <si>
    <t>Analisar Projeto</t>
  </si>
  <si>
    <t>MNT_NCM_NBS_ENTIDADE</t>
  </si>
  <si>
    <t>Associar NCM e NBS ao projeto</t>
  </si>
  <si>
    <t>MNT_PARTICIPANTES_PROJETO</t>
  </si>
  <si>
    <t>Manter participantes projeto</t>
  </si>
  <si>
    <t>PENDENCIAS_PROJETO</t>
  </si>
  <si>
    <t>Pendências do projeto</t>
  </si>
  <si>
    <t>INFO_ENVPROJ_NOPEND</t>
  </si>
  <si>
    <t>Não foram identificadas pendências</t>
  </si>
  <si>
    <t>Não foram identificadas pendencias</t>
  </si>
  <si>
    <t>ERR_ENVPROJ_HA_PENDENCIA</t>
  </si>
  <si>
    <t>Existem pendências relacionadas ao orçamento</t>
  </si>
  <si>
    <t>ERR_ENVPROJ_ACAO_SEM_EVENTO</t>
  </si>
  <si>
    <t>Não há eventos cadastrados nesta ação</t>
  </si>
  <si>
    <t>ERR_ENVPROJ_SEM_OBJETIVO</t>
  </si>
  <si>
    <t>O objetivo do projeto não foi informado</t>
  </si>
  <si>
    <t>ERR_ENVPROJ_SEM_MERCADO</t>
  </si>
  <si>
    <t>O mercado alvo do projeto não foi especificado</t>
  </si>
  <si>
    <t>ERR_ENVPROJ_SEM_PARTICIPANTE</t>
  </si>
  <si>
    <t>O projeto não tem participantes cadastrados</t>
  </si>
  <si>
    <t>ERR_ENVPROJ_FALHA_VERIF</t>
  </si>
  <si>
    <t>Falha ao verificar pendencias</t>
  </si>
  <si>
    <t>Não foi possível concluir a operação</t>
  </si>
  <si>
    <t>ERR_ENVPROJ_FALHA_ENVIAR</t>
  </si>
  <si>
    <t>Falha ao enviar</t>
  </si>
  <si>
    <t>INFO_ENVPROJ_CONCLUIDO</t>
  </si>
  <si>
    <t>Operação concluída</t>
  </si>
  <si>
    <t>Fase do projeto alterada</t>
  </si>
  <si>
    <t>LBL_ENVPROJ_ORCAMENTO</t>
  </si>
  <si>
    <t>Orçamento</t>
  </si>
  <si>
    <t>LBL_ENVPROJ_ACAO</t>
  </si>
  <si>
    <t>LBL_ENVPROJ_PROJETO</t>
  </si>
  <si>
    <t>LBL_ENVPROJ_TITULO</t>
  </si>
  <si>
    <t>Enviar para análise</t>
  </si>
  <si>
    <t>LBL_ENVPROJ_NOPEND</t>
  </si>
  <si>
    <t>LBL_ENVPROJ_PENDENCIA</t>
  </si>
  <si>
    <t>Pendência</t>
  </si>
  <si>
    <t>Nome da pendência</t>
  </si>
  <si>
    <t>LBL_ENVPROJ_DESCRICAO</t>
  </si>
  <si>
    <t>LBL_ENVPROJ_IMPEDE</t>
  </si>
  <si>
    <t>Impedimento de envio</t>
  </si>
  <si>
    <t>Indica se a pendência impede o envio</t>
  </si>
  <si>
    <t>CMD_ENVPROJ_ENVIAR</t>
  </si>
  <si>
    <t>Enviar projeto para análise</t>
  </si>
  <si>
    <t>LBL_ENVPROJ_CONF_CONCLUIR</t>
  </si>
  <si>
    <t>LBL_ENVPROJ_TLT_CONFIRMAR</t>
  </si>
  <si>
    <t>Confirmar enviar</t>
  </si>
  <si>
    <t>ERR_NCM_SEL_OPCAO</t>
  </si>
  <si>
    <t>Selecione uma das opções do NCM/NBS</t>
  </si>
  <si>
    <t>ERR_NCM_PRE_PART_CODIGO_PESQ</t>
  </si>
  <si>
    <t>Preencha parte do código para pesquisa</t>
  </si>
  <si>
    <t>AC_INFO_MUD_EM_ANALISE</t>
  </si>
  <si>
    <t>AC_INFO_FASE_PROJ_MUD</t>
  </si>
  <si>
    <t>A fase deste projeto não permite alterações.</t>
  </si>
  <si>
    <t>AC_INFO_FASE_PROJ_MUD_SIMULACAO</t>
  </si>
  <si>
    <t>A fase deste projeto não permite modificar ações. Para sugerir adequações utilize o projeto simulação.</t>
  </si>
  <si>
    <t>LBL_NCM_FLT_CODIGO</t>
  </si>
  <si>
    <t>Filtrar por Código</t>
  </si>
  <si>
    <t>Campo obrigatório, informe um código</t>
  </si>
  <si>
    <t>LBL_NCM_TIT_DISPONIVEIS</t>
  </si>
  <si>
    <t>NCM/NBS disponíveis (*)</t>
  </si>
  <si>
    <t>LBL_NCM_TIT_SELECIONADOS</t>
  </si>
  <si>
    <t>Pesquisa NCM/NBS selecionados (*)</t>
  </si>
  <si>
    <t>LBL_NCM_FLT_CODIGO2</t>
  </si>
  <si>
    <t>LBL_NCM_TIT_TABELA1</t>
  </si>
  <si>
    <t>NCM / NBS</t>
  </si>
  <si>
    <t>LBL_NCM_TIT_TABELA2</t>
  </si>
  <si>
    <t>CMD_NCM_PESQUISAR1</t>
  </si>
  <si>
    <t>CMD_NCM_PESQUISAR2</t>
  </si>
  <si>
    <t>LBL_NCM_RAD1_TODOS</t>
  </si>
  <si>
    <t>Todos</t>
  </si>
  <si>
    <t>LBL_NCM_RAD1_NCM</t>
  </si>
  <si>
    <t>NCM</t>
  </si>
  <si>
    <t>LBL_NCM_RAD1_NBS</t>
  </si>
  <si>
    <t>NBS</t>
  </si>
  <si>
    <t>LBL_NCM_RAD2_TODOS</t>
  </si>
  <si>
    <t>LBL_NCM_RAD2_NCM</t>
  </si>
  <si>
    <t>LBL_NCM_RAD2_NBS</t>
  </si>
  <si>
    <t>login.jspx</t>
  </si>
  <si>
    <t>PAG_TITLE_AUTH</t>
  </si>
  <si>
    <t>Autenticação do Usuário</t>
  </si>
  <si>
    <t>LBL_AUTH_TAB</t>
  </si>
  <si>
    <t>LBL_AUTH_TXT_USR</t>
  </si>
  <si>
    <t>LBL_AUTH_TXT_PWD</t>
  </si>
  <si>
    <t>Senha</t>
  </si>
  <si>
    <t>CMD_AUTH_LOGIN</t>
  </si>
  <si>
    <t>Log-in</t>
  </si>
  <si>
    <t>CMD_AUTH_ESQUECI_SENHA</t>
  </si>
  <si>
    <t>Esqueci Minha Senha</t>
  </si>
  <si>
    <t>LBL_AUTH_TXT_EMAIL</t>
  </si>
  <si>
    <t>E-mail</t>
  </si>
  <si>
    <t>CMD_AUTH_GERAR_NOVA_SENHA</t>
  </si>
  <si>
    <t>Gerar Nova Senha</t>
  </si>
  <si>
    <t>LBL_AUTH_ALTERAR_SENHA</t>
  </si>
  <si>
    <t>Alterar Senha</t>
  </si>
  <si>
    <t>LBL_AUTH_TXT_SENHA_ATUAL</t>
  </si>
  <si>
    <t>Senha Atual</t>
  </si>
  <si>
    <t>LBL_AUTH_TXT_NOVA_SENHA</t>
  </si>
  <si>
    <t>Nova Senha</t>
  </si>
  <si>
    <t>LBL_AUTH_TXT_NOVA_SENHA_CONF</t>
  </si>
  <si>
    <t>Confirme a Nova Senha</t>
  </si>
  <si>
    <t>CMD_AUTH_GRAVAR_NOVA_SENHA</t>
  </si>
  <si>
    <t>Autenticação</t>
  </si>
  <si>
    <t>AUTH_ERR_TROCAR_SENHA</t>
  </si>
  <si>
    <t>Nova senha não atende aos requisitos de segurança.</t>
  </si>
  <si>
    <t>AUTH_ERR_CONF_INVALIDA</t>
  </si>
  <si>
    <t>A senha digitada no campo de confirmação é diferente da digitada no campo de nova senha.</t>
  </si>
  <si>
    <t>AUTH_SENHA_ALTERADA</t>
  </si>
  <si>
    <t>Senha atualizada com sucesso.</t>
  </si>
  <si>
    <t>AUTH_ERR_SENHA_INVALIDA</t>
  </si>
  <si>
    <t>Usuário ou senha inválidos.</t>
  </si>
  <si>
    <t>Utilize o esqueci minha senha pois na implantação do Fênix todas as senhas foram reiniciadas.</t>
  </si>
  <si>
    <t>AUTH_ERR_EMAIL_INVALIDO</t>
  </si>
  <si>
    <t>O e-mail informado não é válido.</t>
  </si>
  <si>
    <t>AUTH_ERR_MEIO_INVALIDO</t>
  </si>
  <si>
    <t>Usuários internos não podem trocar a senha por este meio.</t>
  </si>
  <si>
    <t>Entre em contanto com a Unidade de TI para maiores informações.</t>
  </si>
  <si>
    <t>AUTH_ERR_EMAIL_NOT_FOUND</t>
  </si>
  <si>
    <t>Não é possível gerar nova senha.</t>
  </si>
  <si>
    <t>E-mail não encontrado no banco de dados do sistema.</t>
  </si>
  <si>
    <t>AUTH_ERR_MULTI_EMAIL</t>
  </si>
  <si>
    <t>E-mail possui mais de um usuário cadastrado.</t>
  </si>
  <si>
    <t>AUTH_NOVA_SENHA_ENVIADA</t>
  </si>
  <si>
    <t>Uma nova senha foi encaminhada para seu e-mail.</t>
  </si>
  <si>
    <t>GESTAO_MUDANCA</t>
  </si>
  <si>
    <t>Gestão de mudança</t>
  </si>
  <si>
    <t>SELEC_PROJETOS_USUARIO</t>
  </si>
  <si>
    <t>PESQUISAR_PROJETO</t>
  </si>
  <si>
    <t>Selecionar projetos do usuário</t>
  </si>
  <si>
    <t>Pesquisar projetos</t>
  </si>
  <si>
    <t>RGN0050.01 - Pendências de Orçamento</t>
  </si>
  <si>
    <t>RGN0050.02 - Ação sem evento</t>
  </si>
  <si>
    <t>RGN0050.03 - Objetivo não preenchido</t>
  </si>
  <si>
    <t>RGN0050.05 - Projeto sem participante</t>
  </si>
  <si>
    <t>Deseja enviar para análise?</t>
  </si>
  <si>
    <t xml:space="preserve">Sua nova senha deve atender aos requisitos abaixo:&lt;br/&gt;      * Não conter nomes ou parte de nomes que excedam 3 caracteres consecutivos; &lt;br/&gt;      * Não repetir as 3 (três) últimas senhas; &lt;br/&gt;      * Tamanho mínimo da senha 8 (oito) caracteres; &lt;br/&gt;      * OBRIGATÓRIO CONTER 3 (TRÊS) DAS 4 (QUATRO) REGRAS ABAIXO: &lt;br/&gt;        * Letras maiúsculas (A-Z); &lt;br/&gt;        * Letras minúsculas (a-z); &lt;br/&gt;        * Números (0-9); &lt;br/&gt;        * Caracteres especiais (Exemplo: !, $, #, %); </t>
  </si>
  <si>
    <t>ENVIAR_MUDANCA</t>
  </si>
  <si>
    <t>Enviar mudança</t>
  </si>
  <si>
    <t>SOLICITAR_AJUSTE_MUDANCA</t>
  </si>
  <si>
    <t>Solicitar ajuste de mudança</t>
  </si>
  <si>
    <t>DESFAZER_MUDANCA</t>
  </si>
  <si>
    <t>Desfazer mudança</t>
  </si>
  <si>
    <t>REJEITAR_MUDANCA</t>
  </si>
  <si>
    <t>Rejeitar mudança</t>
  </si>
  <si>
    <t>APROVAR_MUDANCA</t>
  </si>
  <si>
    <t>Aprovar mudança</t>
  </si>
  <si>
    <t>Aprovar mudanca</t>
  </si>
  <si>
    <t>TROCAR_PROJETO</t>
  </si>
  <si>
    <t>Trocar o projeto para simulação/original</t>
  </si>
  <si>
    <t>IMPRIMIR_PROJETO</t>
  </si>
  <si>
    <t>Imprimir Projeto</t>
  </si>
  <si>
    <t>DASHBOARD_PROJETO</t>
  </si>
  <si>
    <t>Dashboard do Projeto</t>
  </si>
  <si>
    <t>SUMARIO_PROJETO</t>
  </si>
  <si>
    <t>Sumário do Projeto</t>
  </si>
  <si>
    <t>LISTAR_DOCUMENTOS</t>
  </si>
  <si>
    <t>Listar Documentos</t>
  </si>
  <si>
    <t>CONF_AN_PRJ_CONTRATO</t>
  </si>
  <si>
    <t>CONF_AN_PRJ</t>
  </si>
  <si>
    <t>ERR_AN_PRJ_REJEITAR</t>
  </si>
  <si>
    <t>Falha ao rejeitar</t>
  </si>
  <si>
    <t>O parecer não foi definido.</t>
  </si>
  <si>
    <t>INFO_AN_PRJ_CONF_REJEICAO</t>
  </si>
  <si>
    <t>Projeto marcado como rejeitado.</t>
  </si>
  <si>
    <t>INFO_AN_PRJ_CONF_NOEMAIL</t>
  </si>
  <si>
    <t>Atualização efetuada mas o envio de e-mail falhou.</t>
  </si>
  <si>
    <t>ERR_AN_PRJ_AJUSTAR</t>
  </si>
  <si>
    <t>Falha ao solicitar ajuste</t>
  </si>
  <si>
    <t>INFO_AN_PRJ_AJUSTAR</t>
  </si>
  <si>
    <t>Ajuste solicitado</t>
  </si>
  <si>
    <t>ERR_AN_PRJ_APROVAR</t>
  </si>
  <si>
    <t>Falha ao aprovar</t>
  </si>
  <si>
    <t>ERR_AN_PRJ_CRIAR_COPIA</t>
  </si>
  <si>
    <t>O projeto simulação não foi criado.</t>
  </si>
  <si>
    <t>ERR_AN_PRJ_CONTR_DUP</t>
  </si>
  <si>
    <t>Contrato duplicado no RM.</t>
  </si>
  <si>
    <t>ERR_AN_PRJ_RM</t>
  </si>
  <si>
    <t>Falha na integração com RM.</t>
  </si>
  <si>
    <t>INFO_AN_PRJ_APROVAR</t>
  </si>
  <si>
    <t>Projeto aprovado</t>
  </si>
  <si>
    <t>ERR_AN_PRJ_ALT_STATUS</t>
  </si>
  <si>
    <t>Falha ao alterar status</t>
  </si>
  <si>
    <t>ERR_AN_PRJ_FALHA_GRAVAR</t>
  </si>
  <si>
    <t>Falhar ao gravar</t>
  </si>
  <si>
    <t>Há campos obrigatórios não preenchidos.</t>
  </si>
  <si>
    <t>CMD_AN_PRJ_REJEITAR</t>
  </si>
  <si>
    <t>Rejeitar</t>
  </si>
  <si>
    <t>Rejeitar o projeto</t>
  </si>
  <si>
    <t>CMD_AN_PRJ_AJUSTAR</t>
  </si>
  <si>
    <t>Ajustar</t>
  </si>
  <si>
    <t>Solicitar ajustes para o projeto</t>
  </si>
  <si>
    <t>CMD_AN_PRJ_APROVAR</t>
  </si>
  <si>
    <t>Aprovar</t>
  </si>
  <si>
    <t>Aprovar o projeto</t>
  </si>
  <si>
    <t>CMD_INC_PRJ_GRAVAR</t>
  </si>
  <si>
    <t>Gravar os dados do novo projeto</t>
  </si>
  <si>
    <t>LBL_INC_PRJ_TP_PROJ</t>
  </si>
  <si>
    <t>Tipo do projeto</t>
  </si>
  <si>
    <t>LBL_INC_PRJ_CATEGOR</t>
  </si>
  <si>
    <t>Categoria</t>
  </si>
  <si>
    <t>LBL_INC_PRJ_INS_JUR</t>
  </si>
  <si>
    <t>Instrumento jurídico</t>
  </si>
  <si>
    <t>LBL_INC_PRJ_SERVICO</t>
  </si>
  <si>
    <t>Serviço</t>
  </si>
  <si>
    <t>LBL_INC_PRJ_UNIDADE</t>
  </si>
  <si>
    <t>Unidade Apex-Brasil</t>
  </si>
  <si>
    <t>LBL_INC_PRJ_ENT_EXE</t>
  </si>
  <si>
    <t>Entidade executora</t>
  </si>
  <si>
    <t>LBL_INC_PRJ_ENT_PAR</t>
  </si>
  <si>
    <t>Entidade parceira</t>
  </si>
  <si>
    <t>LBL_INC_PRJ_FANTASIA</t>
  </si>
  <si>
    <t>Nome fantasia</t>
  </si>
  <si>
    <t>LBL_INC_PRJ_NOME</t>
  </si>
  <si>
    <t>LBL_INC_PRJ_DTINICIO</t>
  </si>
  <si>
    <t>LBL_INC_PRJ_DTTERMIN</t>
  </si>
  <si>
    <t>Data de término do projeto</t>
  </si>
  <si>
    <t>LBL_INC_PRJ_GESTOR</t>
  </si>
  <si>
    <t>Gestor do projeto - Apex-Brasil</t>
  </si>
  <si>
    <t>LBL_INC_PRJ_LIDER</t>
  </si>
  <si>
    <t>Líder do projeto</t>
  </si>
  <si>
    <t>LBL_INC_PRJ_GERENTE</t>
  </si>
  <si>
    <t>Gerente do projeto - entidade</t>
  </si>
  <si>
    <t>LBL_INC_PRJ_SUBSTIT</t>
  </si>
  <si>
    <t>Gerente substituto - entidade</t>
  </si>
  <si>
    <t>LBL_AN_PRJ_CONF_APROV</t>
  </si>
  <si>
    <t>Confirmar aprovação</t>
  </si>
  <si>
    <t>CMD_AN_PRJ_CONF_APROV</t>
  </si>
  <si>
    <t>Confirmar aprovação do projeto</t>
  </si>
  <si>
    <t>LBL_AN_PRJ_PARECER</t>
  </si>
  <si>
    <t>Parecer</t>
  </si>
  <si>
    <t>Descrição do parecer</t>
  </si>
  <si>
    <t>LBL_AN_PRJ_DADOS_CONV</t>
  </si>
  <si>
    <t>Dados do convênio</t>
  </si>
  <si>
    <t>LBL_AN_PRJ_DTINICIO_PRJ</t>
  </si>
  <si>
    <t>Data início do convênio</t>
  </si>
  <si>
    <t>Data de início do convênio</t>
  </si>
  <si>
    <t>LBL_AN_PRJ_DTFIM_PRJ</t>
  </si>
  <si>
    <t>Data término do convênio</t>
  </si>
  <si>
    <t>Data de término do convênio</t>
  </si>
  <si>
    <t>LBL_AN_PRJ_NUM_CONV</t>
  </si>
  <si>
    <t>Número do convênio</t>
  </si>
  <si>
    <t>LBL_AN_PRJ_NUM_DOSSIE</t>
  </si>
  <si>
    <t>Número do dossiê</t>
  </si>
  <si>
    <t>LBL_AN_PRJ_DADOS_BANC</t>
  </si>
  <si>
    <t>Dados bancários</t>
  </si>
  <si>
    <t>LBL_AN_PRJ_COD_BANCO</t>
  </si>
  <si>
    <t>Código banco</t>
  </si>
  <si>
    <t>Código do banco</t>
  </si>
  <si>
    <t>LBL_AN_PRJ_AGENCIA</t>
  </si>
  <si>
    <t>Agência</t>
  </si>
  <si>
    <t>Número da agência</t>
  </si>
  <si>
    <t>LBL_AN_PRJ_CONTA_COR</t>
  </si>
  <si>
    <t>Conta corrente</t>
  </si>
  <si>
    <t>Número da conta corrente</t>
  </si>
  <si>
    <t>LBL_ANALISAR_PROJETO</t>
  </si>
  <si>
    <t>Analisar projeto</t>
  </si>
  <si>
    <t>LBL_INCLUIR_PROJETO</t>
  </si>
  <si>
    <t>Incluir projeto</t>
  </si>
  <si>
    <t>AP_PROJ_REJEITAR</t>
  </si>
  <si>
    <t>Rejeitar projeto</t>
  </si>
  <si>
    <t>AP_PROJ_SOLIC_AJUSTE</t>
  </si>
  <si>
    <t>AP_PROJ_APROVAR</t>
  </si>
  <si>
    <t>Aprovar projeto</t>
  </si>
  <si>
    <t>INCLUIR_PROJETO</t>
  </si>
  <si>
    <t>Arquivos doc, png, xls, xlsx, zip, docx, jpeg, jpg, txt e pdf, limite de 4MB cada um.</t>
  </si>
  <si>
    <t>ERR_AN_PRJ_PENDENCIA</t>
  </si>
  <si>
    <t>Este projeto contém pendências que impedem sua aprovação</t>
  </si>
  <si>
    <t>ERR_IN_PRJ_EXEC_INDEFINIDA</t>
  </si>
  <si>
    <t>Entidade executora indefinida</t>
  </si>
  <si>
    <t>ERR_IN_PRJ_PERIODO_INVAL</t>
  </si>
  <si>
    <t>Periodo informado pelo usuário não pode estar dentro do período de outro projeto.</t>
  </si>
  <si>
    <t>LBL_GORC_INCLUIR</t>
  </si>
  <si>
    <t>LBL_GORC_EDITAR</t>
  </si>
  <si>
    <t>LBL_GORC_EXCLUIR</t>
  </si>
  <si>
    <t>LBL_GORC_SOLICITAR</t>
  </si>
  <si>
    <t>LBL_GORC_XLS</t>
  </si>
  <si>
    <t>LBL_GORC_ONDE</t>
  </si>
  <si>
    <t>Onde</t>
  </si>
  <si>
    <t>Solicitar orçamento (TAO)</t>
  </si>
  <si>
    <t>Incluir item de gestão orçamentária</t>
  </si>
  <si>
    <t>Excluir item de gestão orçamentária</t>
  </si>
  <si>
    <t>Alterar item de gestão orçamentária</t>
  </si>
  <si>
    <t>Localizar o processo no BPM</t>
  </si>
  <si>
    <t>GESTAO_ORCAMENTO</t>
  </si>
  <si>
    <t>Gestão Orçamentária</t>
  </si>
  <si>
    <t>GORC_INCLUIR</t>
  </si>
  <si>
    <t>GORC_EDITAR</t>
  </si>
  <si>
    <t>GORC_EXCLUIR</t>
  </si>
  <si>
    <t>GORC_TAO</t>
  </si>
  <si>
    <t>GORC_EXPORTAR_XLS</t>
  </si>
  <si>
    <t>GORC_VER_ORCENTIDADE</t>
  </si>
  <si>
    <t>Solicitar orçamento</t>
  </si>
  <si>
    <t>Visualizar orçamento entidade</t>
  </si>
  <si>
    <t>ERR_GORC_ITEM_NAO_SELEC</t>
  </si>
  <si>
    <t>Selecione um item orçamentário.</t>
  </si>
  <si>
    <t>ERR_GORC_VLR_ORC_ZERO</t>
  </si>
  <si>
    <t>Falha ao carregar item</t>
  </si>
  <si>
    <t>ERR_GORC_ANO_EXISTE</t>
  </si>
  <si>
    <t>Ano já cadastrado para esse projeto.</t>
  </si>
  <si>
    <t>LBL_GORC_ANO</t>
  </si>
  <si>
    <t>Ano do item orçamentário</t>
  </si>
  <si>
    <t>Valor Realizado Apex (R$)</t>
  </si>
  <si>
    <t>Teto orçamentário Apex (R$)</t>
  </si>
  <si>
    <t>Valor Realizado Externo (R$)</t>
  </si>
  <si>
    <t>Teto orçamentário Externo (R$)</t>
  </si>
  <si>
    <t>Comentários</t>
  </si>
  <si>
    <t>LBL_GORC_VLR_APEX</t>
  </si>
  <si>
    <t>LBL_GORC_TETO_APEX</t>
  </si>
  <si>
    <t>LBL_GORC_VLR_TETO_APEX</t>
  </si>
  <si>
    <t>LBL_GORC_VLR_REAL_EXTERNO</t>
  </si>
  <si>
    <t>LBL_GORC_VLR_TETO_EXTERNO</t>
  </si>
  <si>
    <t>LBL_GORC_COMENTARIO</t>
  </si>
  <si>
    <t>LBL_GESTAO_ORCAMENTARIA</t>
  </si>
  <si>
    <t>Teto Orçamentário Apex</t>
  </si>
  <si>
    <t>Teto Orçamentário Externo</t>
  </si>
  <si>
    <t>Previsto Apex</t>
  </si>
  <si>
    <t>Saldo Orçamentário Apex</t>
  </si>
  <si>
    <t>Previsto Externo</t>
  </si>
  <si>
    <t>Saldo Orçamentário Externo</t>
  </si>
  <si>
    <t>Desembolso Previsto</t>
  </si>
  <si>
    <t>Orçamento Entidade</t>
  </si>
  <si>
    <t>Realizado</t>
  </si>
  <si>
    <t>LBL_GORC_TETO_EXTERNO</t>
  </si>
  <si>
    <t>LBL_GORC_ENTIDADE</t>
  </si>
  <si>
    <t>LBL_GORC_DESEMBOLSO</t>
  </si>
  <si>
    <t>LBL_GORC_PREV_APEX</t>
  </si>
  <si>
    <t>LBL_GORC_SALDO_APEX</t>
  </si>
  <si>
    <t>LBL_GORC_PREV_EXTERNO</t>
  </si>
  <si>
    <t>LBL_GORC_SALDO_EXTERNO</t>
  </si>
  <si>
    <t>LBL_GORC_REALIZADO</t>
  </si>
  <si>
    <t>ERR_GORC_TETO_APEX_MENOR</t>
  </si>
  <si>
    <t>Teto orçamentário externo não pode ser menor que o Valor Realizado Externo.</t>
  </si>
  <si>
    <t>Teto orçamentário Apex não pode ser menor que o Valor Realizado Apex.</t>
  </si>
  <si>
    <t>Teto orçamentário deve ser maior que zero. Informe o valor do teto orçamentário Apex ou o valor do Teto Orçamentário Externo.</t>
  </si>
  <si>
    <t>ERR_GORC_TETO_EXTERNO_MENOR</t>
  </si>
  <si>
    <t>LBL_DADOS_GRAVADOS</t>
  </si>
  <si>
    <t>Dados gravados com sucesso.</t>
  </si>
  <si>
    <t>N Empresas</t>
  </si>
  <si>
    <t>Número de empresas</t>
  </si>
  <si>
    <t>LBL_GST_FIN_CONFORMIDADE</t>
  </si>
  <si>
    <t>Observações conformidade</t>
  </si>
  <si>
    <t>INFO_MEM_CALC_GRAVADO_FILTRO</t>
  </si>
  <si>
    <t>Item incluído</t>
  </si>
  <si>
    <t>Talvez seja necessário cancelar o filtro para visualizá-lo.</t>
  </si>
  <si>
    <t>CONF_MEM_CALC_CANCEL_FILTRO</t>
  </si>
  <si>
    <t>Confirmar inclusão</t>
  </si>
  <si>
    <t>Essa inserção irá desativar o filtro. Deseja continuar?</t>
  </si>
  <si>
    <t>CONF_INCLUSAO</t>
  </si>
  <si>
    <t>Confirma a inclusão?</t>
  </si>
  <si>
    <t>LBL_CONFIRMAR_INCLUSAO</t>
  </si>
  <si>
    <t>Confirmar</t>
  </si>
  <si>
    <t>LBL_GORC_EXPORTAR</t>
  </si>
  <si>
    <t>Exportar</t>
  </si>
  <si>
    <t>Exportar o Orçamento-Ano</t>
  </si>
  <si>
    <t>LBL_METAS_TAB_INDICADOR</t>
  </si>
  <si>
    <t>LBL_METAS_TAB_ANO</t>
  </si>
  <si>
    <t>LBL_METAS_TAB_VL_META</t>
  </si>
  <si>
    <t>Valor Meta</t>
  </si>
  <si>
    <t>LBL_METAS_TAB_PESO</t>
  </si>
  <si>
    <t>Peso</t>
  </si>
  <si>
    <t>LBL_METAS_TAB_VL_ALCANCADO</t>
  </si>
  <si>
    <t>Valor Alcançado</t>
  </si>
  <si>
    <t>CMD_METAS_INCLUIR</t>
  </si>
  <si>
    <t>CMD_METAS_ALTERAR</t>
  </si>
  <si>
    <t>Alterar</t>
  </si>
  <si>
    <t>CMD_METAS_EXCLUIR</t>
  </si>
  <si>
    <t>CMD_METAS_GRAVAR</t>
  </si>
  <si>
    <t>CMD_METAS_FECHAR</t>
  </si>
  <si>
    <t>LBL_METAS_POP_INCLUIR</t>
  </si>
  <si>
    <t>Incluir Meta do Projeto</t>
  </si>
  <si>
    <t>LBL_METAS_POP_ALTERAR</t>
  </si>
  <si>
    <t>Alterar Meta do Projeto</t>
  </si>
  <si>
    <t>CMD_METAS_POP_EXCLUIR</t>
  </si>
  <si>
    <t>Excluir Meta</t>
  </si>
  <si>
    <t>CMD_METAS_POP_CANCELAR</t>
  </si>
  <si>
    <t>LBL_METAS_POP_TIT_EXLUIR</t>
  </si>
  <si>
    <t>Exclusão de Meta</t>
  </si>
  <si>
    <t>LBL_METAS_POP_EXCLUIR_PERG</t>
  </si>
  <si>
    <t>Deseja Realmente Excluir?</t>
  </si>
  <si>
    <t>ERR_METAS_VLR_SUP_CEM</t>
  </si>
  <si>
    <t>A soma total de todos os pesos não deve ser superior a 100</t>
  </si>
  <si>
    <t>ERR_ENVPROJ_SEM_META</t>
  </si>
  <si>
    <t>Deseja continuar?</t>
  </si>
  <si>
    <t>ERR_ENVPROJ_ACAO_SEM_PAIS</t>
  </si>
  <si>
    <t>ERR_ENVPROJ_PAIS_NAO_DEFINIDO</t>
  </si>
  <si>
    <t>Não há países definidos para o projeto</t>
  </si>
  <si>
    <t>LBL_AC_EDT_PAISES_ACAO</t>
  </si>
  <si>
    <t>Países da ação</t>
  </si>
  <si>
    <t>LBL_AC_EDT_PAISES_DISP</t>
  </si>
  <si>
    <t>Países disponíveis</t>
  </si>
  <si>
    <t>LBL_AC_EDT_PAIS_NAO_DEFINIDO</t>
  </si>
  <si>
    <t>Países</t>
  </si>
  <si>
    <t>LBL_AC_EDT_PAISES_ALVO</t>
  </si>
  <si>
    <t>Países alvo da ação</t>
  </si>
  <si>
    <t>LBL_AC_EDT_PAISES</t>
  </si>
  <si>
    <t>Mercados alvo não definidos</t>
  </si>
  <si>
    <t>Países selecionados</t>
  </si>
  <si>
    <t>ERR_ENVPROJ_SEM_CNAE</t>
  </si>
  <si>
    <t>ERR_ENVPROJ_CNAE_MUDANCA</t>
  </si>
  <si>
    <t>CNAEs não aprovados</t>
  </si>
  <si>
    <t>CNAEs não aprovados pelo gestor do projeto.</t>
  </si>
  <si>
    <t>Não há país alvo da ação associado nesta ação</t>
  </si>
  <si>
    <t>O Projeto não tem CNAE cadastrado.</t>
  </si>
  <si>
    <t>O Projeto não tem Metas cadastradas.</t>
  </si>
  <si>
    <t>ERR_AC_PAIS_NAO_DEFINIDO</t>
  </si>
  <si>
    <t>Projeto não tem país cadastrado</t>
  </si>
  <si>
    <t>CMD_CNAE_PESQ</t>
  </si>
  <si>
    <t>LBL_CNAE_POP_FILT</t>
  </si>
  <si>
    <t>Importar CNAE</t>
  </si>
  <si>
    <t>Cadastrar CNAE</t>
  </si>
  <si>
    <t>CMD_CNAE_IMPORTAR</t>
  </si>
  <si>
    <t>CMD_CNAE_CADASTRAR</t>
  </si>
  <si>
    <t>CMD_CNAE_POP_IMPORTAR</t>
  </si>
  <si>
    <t xml:space="preserve">Importar </t>
  </si>
  <si>
    <t>CMD_CNAE_POP_FECHAR</t>
  </si>
  <si>
    <t>CMD_CNAE_POP_GRAVAR</t>
  </si>
  <si>
    <t>LBL_CNAE_COD</t>
  </si>
  <si>
    <t>Código CNAE</t>
  </si>
  <si>
    <t>Descrição da Classe CNAE</t>
  </si>
  <si>
    <t>LBL_CNAE_DESC_CLASSE</t>
  </si>
  <si>
    <t>LBL_CNAE_DT_INCLUSAO</t>
  </si>
  <si>
    <t>Data inclusão</t>
  </si>
  <si>
    <t>Data exclusão</t>
  </si>
  <si>
    <t>LBL_CNAE_DT_EXCLUSAO</t>
  </si>
  <si>
    <t>LBL_CNAE_STATUS</t>
  </si>
  <si>
    <t>É necessário permanecer pelo menos um CNAE associado.</t>
  </si>
  <si>
    <t>ALERTA_CNAE_DESASSOCIACAO</t>
  </si>
  <si>
    <t>Não é possível desassociar todos CNAEs cadastrados</t>
  </si>
  <si>
    <t>Importação realizada com sucesso.</t>
  </si>
  <si>
    <t>Informe pelo menos 3 dígitos</t>
  </si>
  <si>
    <t>Totalizar</t>
  </si>
  <si>
    <t>Não totalizar</t>
  </si>
  <si>
    <t>Totalização da árvore desativada.</t>
  </si>
  <si>
    <t>Atualiza os totais da memória de cálculo.</t>
  </si>
  <si>
    <t>MEM_CALC_TOTAIS_DESATUALIZADOS</t>
  </si>
  <si>
    <t>Memória de cálculo alterada. Clique aqui para atualizar os totalizadores.</t>
  </si>
  <si>
    <t>MEM_CALC_ALTERADA_AVISO_BTN</t>
  </si>
  <si>
    <t>Totais desatualizados. Clique no botão "Totalizar".</t>
  </si>
  <si>
    <t>CONF_CNAE_IMPORTADO</t>
  </si>
  <si>
    <t>INFO_CNAE_DIGITOS</t>
  </si>
  <si>
    <t>MNT_DELEGACAO_USUARIO</t>
  </si>
  <si>
    <t>Delegação Usuário</t>
  </si>
  <si>
    <t>LBL_IMPORTAR_CNAES</t>
  </si>
  <si>
    <t>Importar CNAEs</t>
  </si>
  <si>
    <t>UCM_FILES</t>
  </si>
  <si>
    <t>INFO_PC_ARQUIVO</t>
  </si>
  <si>
    <t>INFO_PC_RELATORIO</t>
  </si>
  <si>
    <t>Informe texto até 4000 caracteres.</t>
  </si>
  <si>
    <t>PC técnica deve ter ao menos um arquivo.</t>
  </si>
  <si>
    <t>doc docx xls xlsx png zip jpeg jpg pdf txt</t>
  </si>
  <si>
    <t>Extensões habilitadas para upload de arquivos no UCM</t>
  </si>
  <si>
    <t>Informar anexo</t>
  </si>
  <si>
    <t>LBL_PC_INF_ANEXO_TECNICA</t>
  </si>
  <si>
    <t>Incluir arquivo</t>
  </si>
  <si>
    <t>CMD_PC_INCLUIR_ARQUIVO</t>
  </si>
  <si>
    <t>Arquivos da prestação de contas técnica</t>
  </si>
  <si>
    <t>LBL_PC_ARQUIVOS_PC_TEC</t>
  </si>
  <si>
    <t>LBL_PC_TITULO</t>
  </si>
  <si>
    <t>Título</t>
  </si>
  <si>
    <t>LBL_PC_ARQUIVO</t>
  </si>
  <si>
    <t>Arquivo</t>
  </si>
  <si>
    <t>ERR_PC_DOC_SEM_ECM</t>
  </si>
  <si>
    <t>Falha ao ler documento</t>
  </si>
  <si>
    <t>ERR_PC_LER_DOC</t>
  </si>
  <si>
    <t>Falha ao ler documento.</t>
  </si>
  <si>
    <t>Documento sem correspondente no ECM.</t>
  </si>
  <si>
    <t>Documento inexistente no ECM</t>
  </si>
  <si>
    <t>Arquivo inexistente para esse documento</t>
  </si>
  <si>
    <t>ERR_PC_DOC_ECM_NAO_EXISTE</t>
  </si>
  <si>
    <t>ERR_PC_DOC_NAO_EXISTE</t>
  </si>
  <si>
    <t>Falha ao visualizar</t>
  </si>
  <si>
    <t>ERR_PC_ARQ_NAO_SELECIONADO</t>
  </si>
  <si>
    <t>Selecione um documento.</t>
  </si>
  <si>
    <t>Valor não pode ser alterado porque o valor previsto do item orçamentário ficará menor que o total realizado.</t>
  </si>
  <si>
    <t>Falha ao editar</t>
  </si>
  <si>
    <t>Exclusão do detalhe está desabilitado porque o valor previsto do item orçamentário ficará menor que o total realizado.</t>
  </si>
  <si>
    <t>INFO_MEM_CALC_NAO_EXCLUIR</t>
  </si>
  <si>
    <t>ERR_MEM_CALC_VLAPEX_VLREAL</t>
  </si>
  <si>
    <t>ERR_LANC_DTPGTO_DTPROJETO</t>
  </si>
  <si>
    <t>Data de pagamento inválida</t>
  </si>
  <si>
    <t>Lançamento realizado</t>
  </si>
  <si>
    <t>Erro de pré-requisito</t>
  </si>
  <si>
    <t>ERR_LANC_DTPROJETO_INDEF</t>
  </si>
  <si>
    <t>ERR_LANC_DTCONVENIO_INDEF</t>
  </si>
  <si>
    <t>A data de pagamento deve estar no período do projeto.</t>
  </si>
  <si>
    <t>A data de pagamento deve estar no período do convênio.</t>
  </si>
  <si>
    <t>ERR_LANC_DTPGTO_DTCONVENIO</t>
  </si>
  <si>
    <t>Período do projeto indefinido.</t>
  </si>
  <si>
    <t>Período do convênio indefinido.</t>
  </si>
  <si>
    <t>LBL_PROJ_DISPONIVEIS</t>
  </si>
  <si>
    <t>Projetos disponíveis</t>
  </si>
  <si>
    <t>SALDO_INFORM_ALTERAR</t>
  </si>
  <si>
    <t>Alterar saldo informado</t>
  </si>
  <si>
    <t>SALDO_INFORM_XLS</t>
  </si>
  <si>
    <t>Exportar saldos</t>
  </si>
  <si>
    <t>MEM_CALC_CUSTEIO</t>
  </si>
  <si>
    <t>MEM_CALCULO_ADMIN</t>
  </si>
  <si>
    <t>CNAE</t>
  </si>
  <si>
    <t>Memória de Cálculo de Custeio</t>
  </si>
  <si>
    <t>Memória de Cálculo Acesso Admin</t>
  </si>
  <si>
    <t>SLD_VISUALIZAR_DOCUMENTO</t>
  </si>
  <si>
    <t>CMD_SLD_EXCLUIR_ARQUIVO</t>
  </si>
  <si>
    <t>SLD_INCLUIR_ARQUIVO</t>
  </si>
  <si>
    <t>Visualizar documento de saldo de convênio</t>
  </si>
  <si>
    <t>Excluir documento de saldo de convênio</t>
  </si>
  <si>
    <t>Incluir documento de saldo de convênio</t>
  </si>
  <si>
    <t>Documento excluído</t>
  </si>
  <si>
    <t>LBL_SLD_INF_ANEXO</t>
  </si>
  <si>
    <t>CMD_SLD_INCLUIR_ARQUIVO</t>
  </si>
  <si>
    <t>CMD_SLD_VISUALIZAR_ARQ</t>
  </si>
  <si>
    <t>LBL_SLD_ARQUIVOS</t>
  </si>
  <si>
    <t>LBL_SLD_TITULO</t>
  </si>
  <si>
    <t>Informar arquivo</t>
  </si>
  <si>
    <t>Anexar documento de saldo de convênio</t>
  </si>
  <si>
    <t>Documentos de saldo de convênio</t>
  </si>
  <si>
    <t>Anexar</t>
  </si>
  <si>
    <t>LBL_SLD_ARQUIVO</t>
  </si>
  <si>
    <t>SLD_EXCLUIR_ARQUIVO</t>
  </si>
  <si>
    <t>Documento de saldo de convênio</t>
  </si>
  <si>
    <t>Título do ocumento de saldo de convênio</t>
  </si>
  <si>
    <t>LBL_SALDO_CONVENIO</t>
  </si>
  <si>
    <t>Saldos bancários do convênio</t>
  </si>
  <si>
    <t>Saldo conta corrente</t>
  </si>
  <si>
    <t>Saldo aplicação financeira</t>
  </si>
  <si>
    <t>Saldo fundo fixo (dinheiro espécie)</t>
  </si>
  <si>
    <t>Saldo calculado</t>
  </si>
  <si>
    <t>Data do saldo</t>
  </si>
  <si>
    <t>LBL_SLD_CC</t>
  </si>
  <si>
    <t>LBL_SLD_APLIC_FINANC</t>
  </si>
  <si>
    <t>LBL_SLD_FUNDO_FIXO</t>
  </si>
  <si>
    <t>LBL_SLD_CALCULADO</t>
  </si>
  <si>
    <t>LBL_SLD_DT_SALDO</t>
  </si>
  <si>
    <t>Desembolso sem saldo bancário</t>
  </si>
  <si>
    <t>Desembolso não possui saldos trimestrais anteriores</t>
  </si>
  <si>
    <t>ERR_ENVPROJ_SEM_SALDO</t>
  </si>
  <si>
    <t>ERR_SLD_DOC_NAO_SELECIONADO</t>
  </si>
  <si>
    <t>INFO_SLD_DOCUMENTO_EXCLUIDO</t>
  </si>
  <si>
    <t>RGN033.08 - Ação sem mercado.</t>
  </si>
  <si>
    <t>RGN033.07 - Projeto sem CNAE cadastrado</t>
  </si>
  <si>
    <t>RGN033.06 - Projeto sem meta cadastrada</t>
  </si>
  <si>
    <t>ERR_SLD_SALDO_SEM_DOC</t>
  </si>
  <si>
    <t>Deve haver ao menos dois extratos bancários para o período ?</t>
  </si>
  <si>
    <t>RGN033.04 - Mercado alvo não cadastrado</t>
  </si>
  <si>
    <t>NR_ORDEM_AVALIACAO</t>
  </si>
  <si>
    <t>ID_UNIDADE</t>
  </si>
  <si>
    <t>ID_UNIDADE_ALTERNATIVA</t>
  </si>
  <si>
    <t>PC_EDITAR_GLOSA</t>
  </si>
  <si>
    <t>PC_CANCELAR_GLOSA</t>
  </si>
  <si>
    <t>Editar glosa</t>
  </si>
  <si>
    <t>Cancelar glosa</t>
  </si>
  <si>
    <t>PC_INCLUIR_GLOSA</t>
  </si>
  <si>
    <t>Incluir glosa</t>
  </si>
  <si>
    <t>LBL_AC_INCLUIR</t>
  </si>
  <si>
    <t>Incluir evento</t>
  </si>
  <si>
    <t>LBL_AC_EVENTO_INCLUIR</t>
  </si>
  <si>
    <t>ICO_APEX.TB_ICO_HIERARQUIA_UN_DELEGADA</t>
  </si>
  <si>
    <t>ICO_APEX.SQ_ID_HIERARQUIA_UN_DELEGADA</t>
  </si>
  <si>
    <t>ID_HIERARQUIA_UNIDADE_DELEGADA</t>
  </si>
  <si>
    <t>Checar Pendência Projeto</t>
  </si>
  <si>
    <t>ERR_ENVPROJ_VL_META_MENOR_CEM</t>
  </si>
  <si>
    <t>RGN033.10 - Metas com peso inferior a 100%</t>
  </si>
  <si>
    <t>EMAIL_ESTRATEGIA</t>
  </si>
  <si>
    <t>estrategia@apexbrasil.com.br</t>
  </si>
  <si>
    <t xml:space="preserve">Email da equipe responsável do cenário CNAE. </t>
  </si>
  <si>
    <t>ICO_APEX.TB_ICO_TIPO_ALCADA</t>
  </si>
  <si>
    <t>ID_TIPO_ALCADA</t>
  </si>
  <si>
    <t>NM_TIPO_ALCADA</t>
  </si>
  <si>
    <t>Pagamento</t>
  </si>
  <si>
    <t>Assinatura</t>
  </si>
  <si>
    <t>Aquisição</t>
  </si>
  <si>
    <t>SIG_APEX.TB_FNX_TIPO_PROCESSO</t>
  </si>
  <si>
    <t>NM_PROCESSO</t>
  </si>
  <si>
    <t>Autorização de Pagamento Avulso</t>
  </si>
  <si>
    <t>SIG_APEX.TB_FNX_TIPO_PROCESSO_ID_TIPO_P</t>
  </si>
  <si>
    <t>Autorização de Pagamento de Desembolso</t>
  </si>
  <si>
    <t>SIG_APEX.TB_FNX_PROCESSO_ROLE</t>
  </si>
  <si>
    <t>SIG_APEX.TB_FNX_TIPO_ROLE_ID_TIPO_ROLE</t>
  </si>
  <si>
    <t>Líder de Projeto</t>
  </si>
  <si>
    <t>Coordenador de Unidade</t>
  </si>
  <si>
    <t>Analista de Conformidade</t>
  </si>
  <si>
    <t>Controle de Conformidade</t>
  </si>
  <si>
    <t>Gabinete DGC</t>
  </si>
  <si>
    <t>Ordenador de Despesas</t>
  </si>
  <si>
    <t>Equipe NASC</t>
  </si>
  <si>
    <t>Gestor do Projeto</t>
  </si>
  <si>
    <t>Coordenador Técnico</t>
  </si>
  <si>
    <t>Analista de Prestação de Contas</t>
  </si>
  <si>
    <t>Coordenador de Prestação de Contas</t>
  </si>
  <si>
    <t>Responsável Alçada</t>
  </si>
  <si>
    <t>Gabinetes (DGC-DN-PR)</t>
  </si>
  <si>
    <t>ID_TIPO_PROCESSO</t>
  </si>
  <si>
    <t>ID_TIPO_ROLE</t>
  </si>
  <si>
    <t>SIG_APEX.TB_FNX_TIPO_ROLE</t>
  </si>
  <si>
    <t>NM_ROLE</t>
  </si>
  <si>
    <t>SIG_APEX.TB_FNX_PROCESSO_ROLE_ID_PROCES</t>
  </si>
  <si>
    <t>ID_PROCESSO_ROLE</t>
  </si>
  <si>
    <t>#Processo</t>
  </si>
  <si>
    <t>#Papel</t>
  </si>
  <si>
    <t>Instância não definida</t>
  </si>
  <si>
    <t>Não foi possível identificar a instância de processo de análise dos pareceres da prestação de contas.</t>
  </si>
  <si>
    <t> Enviar arquivo de extrato.</t>
  </si>
  <si>
    <t>Anexar arquivo</t>
  </si>
  <si>
    <t>Pendências</t>
  </si>
  <si>
    <t>Impede envio.</t>
  </si>
  <si>
    <t>LBL_PC_IMPEDIMENTO_ENV</t>
  </si>
  <si>
    <t>LBL_PC_PEND_DESCRICAO</t>
  </si>
  <si>
    <t>LBL_PENDENCIAS</t>
  </si>
  <si>
    <t>LBL_PC_CHECAR_PEND</t>
  </si>
  <si>
    <t>LBL_SLD_ANEXAR_ARQ</t>
  </si>
  <si>
    <t>ERR_PC_BPM_INDEFINIDO</t>
  </si>
  <si>
    <t>CMD_SLD_ENVIAR_ARQ</t>
  </si>
  <si>
    <t>ERR_PRJ_SEM_DADOS_COMPL</t>
  </si>
  <si>
    <t>LBL_ESTRATEGIA</t>
  </si>
  <si>
    <t>Estratégia</t>
  </si>
  <si>
    <t>Estratégia não possui arquivos complementares</t>
  </si>
  <si>
    <t>RGN033.13 - Estratégia sem dados complementares</t>
  </si>
  <si>
    <t>ERR_GLOSA_ZERO</t>
  </si>
  <si>
    <t>Somente um dos três valores glosados pode ser igual a zero</t>
  </si>
  <si>
    <t>ERR_GLOSA_VLAPEX_MENOR</t>
  </si>
  <si>
    <t>Valor glosado deve ser menor ou igual ao valor Apex</t>
  </si>
  <si>
    <t>ERR_GLOSA_VL_CFINAN_MENOR</t>
  </si>
  <si>
    <t>Valor glosado deve ser menor ou igual ao valor de contrapartida financeira</t>
  </si>
  <si>
    <t>ERR_GLOSA_VL_CECON_MENOR</t>
  </si>
  <si>
    <t>Valor glosado deve ser menor ou igual ao valor de contrapartida econômica</t>
  </si>
  <si>
    <t>Associar/Desassociar</t>
  </si>
  <si>
    <t>Cadastrar Nova Vertical</t>
  </si>
  <si>
    <t>Editar Vertical</t>
  </si>
  <si>
    <t>LBL_VERTICAIS</t>
  </si>
  <si>
    <t>Verticais</t>
  </si>
  <si>
    <t>CMD_GRAVAR_VERTICAL</t>
  </si>
  <si>
    <t>CMD_FECHAR_VERTICAL</t>
  </si>
  <si>
    <t>CMD_CADASTRAR_VERTICAL</t>
  </si>
  <si>
    <t>CMD_ASSOCIAR_VERTICAL</t>
  </si>
  <si>
    <t>CMD_EDITAR_VERTICAL</t>
  </si>
  <si>
    <t>LBL_NM_VERTICAL</t>
  </si>
  <si>
    <t>LBL_DS_VERTICAL</t>
  </si>
  <si>
    <t>Nome vertical</t>
  </si>
  <si>
    <t>Nome da vertical</t>
  </si>
  <si>
    <t>Descrição da vertical</t>
  </si>
  <si>
    <t>LBL_VERTICAIS_PROJETO</t>
  </si>
  <si>
    <t>Verticais do Projeto</t>
  </si>
  <si>
    <t xml:space="preserve">A soma dos pesos por ano não é igual a 100. </t>
  </si>
  <si>
    <t>Mem. Calc. Custeio - Detalhe</t>
  </si>
  <si>
    <t>LBL_MC_DET_GRUPO_CUSTEIO</t>
  </si>
  <si>
    <t>Grupo</t>
  </si>
  <si>
    <t>Lista dos grupos de custeio.</t>
  </si>
  <si>
    <t>LBL_MC_DET_ITEM_CUSTEIO</t>
  </si>
  <si>
    <t>Item</t>
  </si>
  <si>
    <t>Lista de itens de custeio.</t>
  </si>
  <si>
    <t>Novo Detalhe</t>
  </si>
  <si>
    <t>Cria um novo detalhe para o item de custeio selecionado.</t>
  </si>
  <si>
    <t>LBL_MC_DET_DETALHE_ITEM</t>
  </si>
  <si>
    <t>Detalhe de Item</t>
  </si>
  <si>
    <t>Detalhamento do item de custeio selecionado.</t>
  </si>
  <si>
    <t>LBL_MC_DET_DETALHE_NOME</t>
  </si>
  <si>
    <t>Nome Detalhe</t>
  </si>
  <si>
    <t>Nome do detalhe de item de custeio.</t>
  </si>
  <si>
    <t>LBL_MC_DET_DESCRICAO</t>
  </si>
  <si>
    <t>Descrição do item de custeio.</t>
  </si>
  <si>
    <t>CMD_MC_DET_NOVO_DET</t>
  </si>
  <si>
    <t>#EL Label</t>
  </si>
  <si>
    <t>#EL Hint</t>
  </si>
  <si>
    <t>Recalcula os valores da linha "Total" da tabela.</t>
  </si>
  <si>
    <t>Memória Custeio</t>
  </si>
  <si>
    <t>INFO_MC_ITEM_POSSUI_DETALHE</t>
  </si>
  <si>
    <t>Edição não permitida. O item possui um ou mais detalhes.</t>
  </si>
  <si>
    <t>Acesse o detalhe do item orçamentário para realizar as alterações.</t>
  </si>
  <si>
    <t>#EL</t>
  </si>
  <si>
    <t>Mês/Ano</t>
  </si>
  <si>
    <t>Mês/Ano de previsão de pagamento do item de custeio.</t>
  </si>
  <si>
    <t>Unidade de medida do item de custeio.</t>
  </si>
  <si>
    <t>Quantidade de itens do item de custeio.</t>
  </si>
  <si>
    <t>Moeda a ser utilizada.</t>
  </si>
  <si>
    <t>Valor unitário do item de custeio.</t>
  </si>
  <si>
    <t>LBL_MC_VL_PREVISTO</t>
  </si>
  <si>
    <t>Vlr. Prev. (R$)</t>
  </si>
  <si>
    <t>Valor previsto em Reais.</t>
  </si>
  <si>
    <t>LBL_MC_VL_REALIZADO</t>
  </si>
  <si>
    <t>Vlr. Realiz. (R$)</t>
  </si>
  <si>
    <t>Valor realizado em Reais.</t>
  </si>
  <si>
    <t>Salva e permanece na tela.</t>
  </si>
  <si>
    <t>Salvar e Fechar</t>
  </si>
  <si>
    <t>Salva e fecha a tela.</t>
  </si>
  <si>
    <t>Descarta as alterações e fecha a tela.</t>
  </si>
  <si>
    <t>CMD_MC_DET_TOTALIZAR</t>
  </si>
  <si>
    <t>LBL_MC_DET_MES_ANO</t>
  </si>
  <si>
    <t>LBL_MC_DET_UNIDADE</t>
  </si>
  <si>
    <t>LBL_MC_DET_QTDE_UN</t>
  </si>
  <si>
    <t>LBL_MC_DET_MOEDA</t>
  </si>
  <si>
    <t>LBL_MC_DET_VL_UNITARIO</t>
  </si>
  <si>
    <t>LBL_MC_DET_VL_PREVISTO</t>
  </si>
  <si>
    <t>LBL_MC_DET_VL_REALIZADO</t>
  </si>
  <si>
    <t>CMD_MC_DET_SALVAR</t>
  </si>
  <si>
    <t>CMD_MC_DET_SALVAR_E_FECHAR</t>
  </si>
  <si>
    <t>CMD_MC_DET_FECHAR</t>
  </si>
  <si>
    <t>Mem. Calc. Custeio - Consultar</t>
  </si>
  <si>
    <t>Grupo de Custeio</t>
  </si>
  <si>
    <t>Grupos de custeio do projeto.</t>
  </si>
  <si>
    <t>LBL_MC_FILTRO_GRUPO_CUSTEIO</t>
  </si>
  <si>
    <t>LBL_MC_FILTRO_MES_ANO</t>
  </si>
  <si>
    <t>CMD_MC_FILTRAR</t>
  </si>
  <si>
    <t>Aplica os filtros selecionados.</t>
  </si>
  <si>
    <t>CMD_MC_NOVO</t>
  </si>
  <si>
    <t>Adiciona um novo grupo ou um novo item de custeio.</t>
  </si>
  <si>
    <t>CMD_MC_EDITAR</t>
  </si>
  <si>
    <t>Altera um item ou detalhe de de item de custeio.</t>
  </si>
  <si>
    <t>CMD_MC_IMPORTAR</t>
  </si>
  <si>
    <t>Importa os dados de outro projeto de custeio.</t>
  </si>
  <si>
    <t>LBL_MC_PERIODO_FILTRADO</t>
  </si>
  <si>
    <t>Período Filtrado</t>
  </si>
  <si>
    <t>Os dados apresentados correspondem aos filtros selecionados.</t>
  </si>
  <si>
    <t>Qtde. Lanç.</t>
  </si>
  <si>
    <t>Quantidade de Lançamentos Realizados.</t>
  </si>
  <si>
    <t>LBL_MC_QTDE_LANC</t>
  </si>
  <si>
    <t>Previsto (R$)</t>
  </si>
  <si>
    <t>Valor previsto.</t>
  </si>
  <si>
    <t>Realizado (R$)</t>
  </si>
  <si>
    <t>Valor realizado.</t>
  </si>
  <si>
    <t>LBL_MC_VL_SALDO</t>
  </si>
  <si>
    <t>Saldo (R$)</t>
  </si>
  <si>
    <t>Saldo entre o previsto e o realizado.</t>
  </si>
  <si>
    <t>LBL_MC_TOTAL</t>
  </si>
  <si>
    <t>Total</t>
  </si>
  <si>
    <t>Valor total independente do filtro de pesquisa aplicado.</t>
  </si>
  <si>
    <t>LBL_MC_IMP_PROJ_ORIGEM</t>
  </si>
  <si>
    <t>Projeto Origem</t>
  </si>
  <si>
    <t>Projeto de origem dos dados para importação.</t>
  </si>
  <si>
    <t>LBL_SELECT_OPCIONAL</t>
  </si>
  <si>
    <t>-- selecione --</t>
  </si>
  <si>
    <t>LBL_SELECT_OBRIGATORIO</t>
  </si>
  <si>
    <t>-- nenhum --</t>
  </si>
  <si>
    <t>LBL_MC_IMP_PER_PRJ_ORIGEM</t>
  </si>
  <si>
    <t>Período do Projeto de Origem</t>
  </si>
  <si>
    <t>Data inicial e final do projeto de origem dos dados.</t>
  </si>
  <si>
    <t>LBL_MC_IMP_PER_PRJ_DESTINO</t>
  </si>
  <si>
    <t>Período do Projeto de Destino</t>
  </si>
  <si>
    <t>Data inicial e final do projeto de destino dos dados.</t>
  </si>
  <si>
    <t>Mem. Calc. Custeio - Importar</t>
  </si>
  <si>
    <t>Selecione um projeto para importação.</t>
  </si>
  <si>
    <t>LBL_SEL_PRJ_IMPORTAR</t>
  </si>
  <si>
    <t>LBL_MC_IMP_TP_IMPORT</t>
  </si>
  <si>
    <t>LBL_MC_IMP_IMP_PREV</t>
  </si>
  <si>
    <t>Importar Previsto</t>
  </si>
  <si>
    <t>Importar Realizado como Previsto</t>
  </si>
  <si>
    <t>LBL_MC_IMP_IMP_REALIZADO</t>
  </si>
  <si>
    <t>LBL_MC_IMP_COEF_K</t>
  </si>
  <si>
    <t>Coeficiente de Atualização (K)</t>
  </si>
  <si>
    <t>LBL_MC_IMP_MES_INI_K</t>
  </si>
  <si>
    <t>Mês de Início de Aplicação do K</t>
  </si>
  <si>
    <t>CONF_MC_IMPORT_SUCCESS</t>
  </si>
  <si>
    <t>CMD_MC_IMP_OK</t>
  </si>
  <si>
    <t>Ok</t>
  </si>
  <si>
    <t>CMD_MC_IMP_CANCELAR</t>
  </si>
  <si>
    <t>CMD_MC_IMP_IMPORTAR</t>
  </si>
  <si>
    <t>ERR_MC_SELECIONE_PROJETO</t>
  </si>
  <si>
    <t>Selecione um projeto.</t>
  </si>
  <si>
    <t>ERR_MC_IMP_VALOR_RLZ</t>
  </si>
  <si>
    <t>Selecione itens com valor realizado ou selecione a opção de importar o valor previsto.</t>
  </si>
  <si>
    <t>Nenhum dos itens selecionados possui valor realizado.</t>
  </si>
  <si>
    <t>ERR_MC_SELECIONE_ITEM</t>
  </si>
  <si>
    <t>SelecionSelecione pelo menos 01 (um) item para importar.</t>
  </si>
  <si>
    <t>ERR_MC_FALHA_CAR_PRJ_ORIGEM</t>
  </si>
  <si>
    <t>Falha ao carregar as informações do projeto de origem.</t>
  </si>
  <si>
    <t>ERR_MC_FALHA_CAR_PRJ_DESTINO</t>
  </si>
  <si>
    <t>Falha ao carregar as informações do projeto de destino.</t>
  </si>
  <si>
    <t>#Prop</t>
  </si>
  <si>
    <t>LBL_MC_DET_TOTAL</t>
  </si>
  <si>
    <t>ERR_MC_FALHA_EXPORTAR_EXCEL</t>
  </si>
  <si>
    <t>Falha ao exportar a memória de cálculo de custeio para o Excel.</t>
  </si>
  <si>
    <t>LBL_MC_DET_EDITAR</t>
  </si>
  <si>
    <t>LBL_MC_DET_INCLUIR</t>
  </si>
  <si>
    <t>Incluir Grupo e Item de Custeio</t>
  </si>
  <si>
    <t>Lançado na PC c/ glosa</t>
  </si>
  <si>
    <t>LBL_PC_15_DEP_GLOSA</t>
  </si>
  <si>
    <t>1.5 - Depósito glosa</t>
  </si>
  <si>
    <t>Valor do depósito da glosa</t>
  </si>
  <si>
    <t>LBL_PC_25_GLOSA</t>
  </si>
  <si>
    <t>2.5 - Glosa</t>
  </si>
  <si>
    <t>Valor da glosa</t>
  </si>
  <si>
    <t>LBL_PC_15_VL_GLOSA</t>
  </si>
  <si>
    <t>Valor glosado</t>
  </si>
  <si>
    <t>ERR_ENVPROJ_SEM_VERTICAL</t>
  </si>
  <si>
    <t>RGN033.11 - Vertical não cadastrada</t>
  </si>
  <si>
    <t>O projeto não tem verticais cadastradas</t>
  </si>
  <si>
    <t>CADASTRAR_CNAE</t>
  </si>
  <si>
    <t>IMPORTAR_CNAE</t>
  </si>
  <si>
    <t>ERR_SH6_NAO_CADASTRADO</t>
  </si>
  <si>
    <t>O projeto possui SH6 disponível para associação</t>
  </si>
  <si>
    <t xml:space="preserve">RGN033.14 - Projeto com Vertical Cadastrada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</si>
</sst>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color rgb="FF222222"/>
      <name val="Arial"/>
      <family val="2"/>
    </font>
    <font>
      <sz val="10"/>
      <color rgb="FF00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2222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0" borderId="0" xfId="0" applyNumberFormat="1"/>
    <xf numFmtId="0" fontId="0" fillId="0" borderId="0" xfId="0" quotePrefix="1" applyAlignment="1">
      <alignment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0" fillId="0" borderId="0" xfId="0" applyNumberForma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vertical="center" wrapText="1"/>
    </xf>
    <xf numFmtId="0" fontId="0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1" fillId="2" borderId="0" xfId="0" applyNumberFormat="1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 wrapText="1"/>
    </xf>
    <xf numFmtId="49" fontId="7" fillId="0" borderId="0" xfId="22" applyNumberFormat="1" applyAlignment="1">
      <alignment vertical="top"/>
    </xf>
    <xf numFmtId="0" fontId="9" fillId="0" borderId="0" xfId="0" applyFont="1"/>
    <xf numFmtId="0" fontId="10" fillId="3" borderId="0" xfId="0" applyFont="1" applyFill="1" applyAlignment="1">
      <alignment horizontal="left" wrapText="1"/>
    </xf>
    <xf numFmtId="0" fontId="0" fillId="0" borderId="0" xfId="0" applyFont="1"/>
    <xf numFmtId="0" fontId="11" fillId="0" borderId="0" xfId="0" applyFont="1" applyAlignment="1">
      <alignment vertical="center"/>
    </xf>
    <xf numFmtId="49" fontId="0" fillId="0" borderId="0" xfId="0" applyNumberFormat="1" applyFont="1" applyAlignment="1">
      <alignment vertical="center" wrapText="1"/>
    </xf>
    <xf numFmtId="0" fontId="12" fillId="0" borderId="0" xfId="0" applyFont="1" applyAlignment="1">
      <alignment horizontal="right" vertical="center" wrapText="1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wrapText="1"/>
    </xf>
    <xf numFmtId="0" fontId="11" fillId="0" borderId="0" xfId="0" applyFont="1"/>
    <xf numFmtId="0" fontId="10" fillId="0" borderId="0" xfId="0" applyFont="1" applyFill="1" applyAlignment="1">
      <alignment horizontal="left" wrapText="1"/>
    </xf>
    <xf numFmtId="0" fontId="0" fillId="0" borderId="0" xfId="0" applyFill="1" applyAlignment="1">
      <alignment vertical="center" wrapText="1"/>
    </xf>
    <xf numFmtId="49" fontId="0" fillId="0" borderId="0" xfId="0" applyNumberFormat="1" applyFill="1" applyAlignment="1">
      <alignment vertical="center" wrapText="1"/>
    </xf>
    <xf numFmtId="0" fontId="0" fillId="0" borderId="0" xfId="0" applyFont="1" applyFill="1"/>
    <xf numFmtId="0" fontId="14" fillId="0" borderId="0" xfId="0" applyFont="1"/>
    <xf numFmtId="0" fontId="12" fillId="0" borderId="0" xfId="0" applyFont="1"/>
  </cellXfs>
  <cellStyles count="25">
    <cellStyle name="Hiperlink" xfId="2" builtinId="8" hidden="1"/>
    <cellStyle name="Hiperlink" xfId="4" builtinId="8" hidden="1"/>
    <cellStyle name="Hiperlink" xfId="6" builtinId="8" hidden="1"/>
    <cellStyle name="Hiperlink" xfId="8" builtinId="8" hidden="1"/>
    <cellStyle name="Hiperlink" xfId="10" builtinId="8" hidden="1"/>
    <cellStyle name="Hiperlink" xfId="12" builtinId="8" hidden="1"/>
    <cellStyle name="Hiperlink" xfId="14" builtinId="8" hidden="1"/>
    <cellStyle name="Hiperlink" xfId="16" builtinId="8" hidden="1"/>
    <cellStyle name="Hiperlink" xfId="18" builtinId="8" hidden="1"/>
    <cellStyle name="Hiperlink" xfId="20" builtinId="8" hidden="1"/>
    <cellStyle name="Hiperlink" xfId="22" builtinId="8"/>
    <cellStyle name="Hiperlink Visitado" xfId="3" builtinId="9" hidden="1"/>
    <cellStyle name="Hiperlink Visitado" xfId="5" builtinId="9" hidden="1"/>
    <cellStyle name="Hiperlink Visitado" xfId="7" builtinId="9" hidden="1"/>
    <cellStyle name="Hiperlink Visitado" xfId="9" builtinId="9" hidden="1"/>
    <cellStyle name="Hiperlink Visitado" xfId="11" builtinId="9" hidden="1"/>
    <cellStyle name="Hiperlink Visitado" xfId="13" builtinId="9" hidden="1"/>
    <cellStyle name="Hiperlink Visitado" xfId="15" builtinId="9" hidden="1"/>
    <cellStyle name="Hiperlink Visitado" xfId="17" builtinId="9" hidden="1"/>
    <cellStyle name="Hiperlink Visitado" xfId="19" builtinId="9" hidden="1"/>
    <cellStyle name="Hiperlink Visitado" xfId="21" builtinId="9" hidden="1"/>
    <cellStyle name="Hiperlink Visitado" xfId="23" builtinId="9" hidden="1"/>
    <cellStyle name="Hiperlink Visitado" xfId="24" builtinId="9" hidden="1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hyperlink" Target="mailto:fenix.apexbrasil@gmail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22"/>
  <sheetViews>
    <sheetView topLeftCell="B1" workbookViewId="0">
      <selection activeCell="D16" sqref="D16"/>
    </sheetView>
  </sheetViews>
  <sheetFormatPr defaultColWidth="8.85546875" defaultRowHeight="15" x14ac:dyDescent="0.25"/>
  <cols>
    <col min="1" max="1" width="10.42578125" style="2" customWidth="1"/>
    <col min="2" max="2" width="46.42578125" style="2" customWidth="1"/>
    <col min="3" max="3" width="38.28515625" style="2" bestFit="1" customWidth="1"/>
    <col min="4" max="4" width="19.28515625" style="2" customWidth="1"/>
    <col min="5" max="16384" width="8.85546875" style="2"/>
  </cols>
  <sheetData>
    <row r="1" spans="1:4" ht="18.75" x14ac:dyDescent="0.25">
      <c r="B1" s="12" t="s">
        <v>323</v>
      </c>
    </row>
    <row r="3" spans="1:4" x14ac:dyDescent="0.25">
      <c r="A3" s="1" t="s">
        <v>0</v>
      </c>
      <c r="B3" s="1" t="s">
        <v>1</v>
      </c>
      <c r="C3" s="1" t="s">
        <v>2</v>
      </c>
      <c r="D3" s="6" t="s">
        <v>3</v>
      </c>
    </row>
    <row r="4" spans="1:4" x14ac:dyDescent="0.25">
      <c r="A4" s="2">
        <v>1</v>
      </c>
      <c r="B4" t="s">
        <v>2265</v>
      </c>
    </row>
    <row r="5" spans="1:4" x14ac:dyDescent="0.25">
      <c r="A5" s="2">
        <v>2</v>
      </c>
      <c r="B5" t="s">
        <v>2256</v>
      </c>
      <c r="C5" s="2" t="s">
        <v>2257</v>
      </c>
      <c r="D5" s="2">
        <v>4</v>
      </c>
    </row>
    <row r="6" spans="1:4" x14ac:dyDescent="0.25">
      <c r="A6" s="2">
        <v>3</v>
      </c>
      <c r="B6" t="s">
        <v>309</v>
      </c>
    </row>
    <row r="7" spans="1:4" x14ac:dyDescent="0.25">
      <c r="A7" s="2">
        <v>4</v>
      </c>
      <c r="B7" t="s">
        <v>313</v>
      </c>
    </row>
    <row r="8" spans="1:4" x14ac:dyDescent="0.25">
      <c r="A8" s="2">
        <v>5</v>
      </c>
      <c r="B8" s="2" t="s">
        <v>314</v>
      </c>
    </row>
    <row r="9" spans="1:4" x14ac:dyDescent="0.25">
      <c r="A9" s="2">
        <v>6</v>
      </c>
      <c r="B9" s="2" t="s">
        <v>1317</v>
      </c>
    </row>
    <row r="10" spans="1:4" x14ac:dyDescent="0.25">
      <c r="A10" s="2">
        <v>7</v>
      </c>
      <c r="B10" s="2" t="s">
        <v>315</v>
      </c>
      <c r="C10" s="2" t="s">
        <v>449</v>
      </c>
      <c r="D10" s="2">
        <v>140</v>
      </c>
    </row>
    <row r="11" spans="1:4" x14ac:dyDescent="0.25">
      <c r="A11" s="2">
        <v>8</v>
      </c>
      <c r="B11" s="2" t="s">
        <v>475</v>
      </c>
    </row>
    <row r="12" spans="1:4" x14ac:dyDescent="0.25">
      <c r="A12" s="2">
        <v>9</v>
      </c>
      <c r="B12" s="2" t="s">
        <v>350</v>
      </c>
    </row>
    <row r="13" spans="1:4" x14ac:dyDescent="0.25">
      <c r="A13" s="2">
        <v>10</v>
      </c>
      <c r="B13" s="2" t="s">
        <v>1112</v>
      </c>
    </row>
    <row r="14" spans="1:4" x14ac:dyDescent="0.25">
      <c r="A14" s="2">
        <v>11</v>
      </c>
      <c r="B14" s="2" t="s">
        <v>316</v>
      </c>
    </row>
    <row r="15" spans="1:4" x14ac:dyDescent="0.25">
      <c r="A15" s="2">
        <v>12</v>
      </c>
      <c r="B15" s="2" t="s">
        <v>317</v>
      </c>
    </row>
    <row r="16" spans="1:4" x14ac:dyDescent="0.25">
      <c r="A16" s="2">
        <v>13</v>
      </c>
      <c r="B16" s="2" t="s">
        <v>318</v>
      </c>
      <c r="C16" s="2" t="s">
        <v>321</v>
      </c>
      <c r="D16" s="2">
        <v>255</v>
      </c>
    </row>
    <row r="17" spans="1:4" x14ac:dyDescent="0.25">
      <c r="A17" s="2">
        <v>14</v>
      </c>
      <c r="B17" s="2" t="s">
        <v>312</v>
      </c>
      <c r="C17" s="2" t="s">
        <v>322</v>
      </c>
      <c r="D17" s="2">
        <v>535</v>
      </c>
    </row>
    <row r="18" spans="1:4" x14ac:dyDescent="0.25">
      <c r="A18" s="2">
        <v>15</v>
      </c>
      <c r="B18" s="2" t="s">
        <v>1269</v>
      </c>
    </row>
    <row r="19" spans="1:4" x14ac:dyDescent="0.25">
      <c r="A19" s="2">
        <v>16</v>
      </c>
      <c r="B19" s="2" t="s">
        <v>1287</v>
      </c>
    </row>
    <row r="20" spans="1:4" x14ac:dyDescent="0.25">
      <c r="A20" s="2">
        <v>17</v>
      </c>
      <c r="B20" s="2" t="s">
        <v>2271</v>
      </c>
      <c r="C20" s="2" t="s">
        <v>2274</v>
      </c>
      <c r="D20" s="2">
        <v>4</v>
      </c>
    </row>
    <row r="21" spans="1:4" x14ac:dyDescent="0.25">
      <c r="A21" s="2">
        <v>18</v>
      </c>
      <c r="B21" s="2" t="s">
        <v>2293</v>
      </c>
      <c r="C21" s="2" t="s">
        <v>2277</v>
      </c>
      <c r="D21" s="2">
        <v>14</v>
      </c>
    </row>
    <row r="22" spans="1:4" x14ac:dyDescent="0.25">
      <c r="A22" s="2">
        <v>19</v>
      </c>
      <c r="B22" s="2" t="s">
        <v>2276</v>
      </c>
      <c r="C22" s="2" t="s">
        <v>2295</v>
      </c>
      <c r="D22" s="2">
        <v>19</v>
      </c>
    </row>
  </sheetData>
  <sortState ref="A4:C7">
    <sortCondition ref="B7"/>
  </sortState>
  <dataConsolidate/>
  <pageMargins left="0.511811024" right="0.511811024" top="0.78740157499999996" bottom="0.78740157499999996" header="0.31496062000000002" footer="0.31496062000000002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C9"/>
  <sheetViews>
    <sheetView workbookViewId="0">
      <selection activeCell="A7" sqref="A7"/>
    </sheetView>
  </sheetViews>
  <sheetFormatPr defaultColWidth="8.85546875" defaultRowHeight="15" x14ac:dyDescent="0.25"/>
  <cols>
    <col min="1" max="1" width="22.140625" style="25" bestFit="1" customWidth="1"/>
    <col min="2" max="2" width="23.42578125" style="25" bestFit="1" customWidth="1"/>
    <col min="3" max="3" width="18.140625" style="25" bestFit="1" customWidth="1"/>
    <col min="4" max="4" width="22.7109375" style="25" bestFit="1" customWidth="1"/>
    <col min="5" max="16384" width="8.85546875" style="25"/>
  </cols>
  <sheetData>
    <row r="1" spans="1:3" x14ac:dyDescent="0.25">
      <c r="A1" s="11" t="s">
        <v>1</v>
      </c>
      <c r="B1" s="25" t="s">
        <v>2265</v>
      </c>
    </row>
    <row r="2" spans="1:3" x14ac:dyDescent="0.25">
      <c r="A2" s="11" t="s">
        <v>310</v>
      </c>
    </row>
    <row r="3" spans="1:3" x14ac:dyDescent="0.25">
      <c r="A3" s="11" t="s">
        <v>320</v>
      </c>
    </row>
    <row r="4" spans="1:3" x14ac:dyDescent="0.25">
      <c r="A4" s="11" t="s">
        <v>311</v>
      </c>
      <c r="C4" s="11" t="s">
        <v>483</v>
      </c>
    </row>
    <row r="6" spans="1:3" x14ac:dyDescent="0.25">
      <c r="A6" s="1" t="s">
        <v>2266</v>
      </c>
      <c r="B6" s="1" t="s">
        <v>2267</v>
      </c>
    </row>
    <row r="7" spans="1:3" x14ac:dyDescent="0.25">
      <c r="A7" s="25">
        <v>1</v>
      </c>
      <c r="B7" s="25" t="s">
        <v>2268</v>
      </c>
    </row>
    <row r="8" spans="1:3" x14ac:dyDescent="0.25">
      <c r="A8" s="25">
        <v>2</v>
      </c>
      <c r="B8" s="25" t="s">
        <v>2269</v>
      </c>
    </row>
    <row r="9" spans="1:3" x14ac:dyDescent="0.25">
      <c r="A9" s="25">
        <v>3</v>
      </c>
      <c r="B9" s="25" t="s">
        <v>2270</v>
      </c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D9"/>
  <sheetViews>
    <sheetView workbookViewId="0">
      <selection activeCell="C11" sqref="C11"/>
    </sheetView>
  </sheetViews>
  <sheetFormatPr defaultColWidth="8.85546875" defaultRowHeight="15" x14ac:dyDescent="0.25"/>
  <cols>
    <col min="1" max="1" width="22.140625" style="25" bestFit="1" customWidth="1"/>
    <col min="2" max="2" width="23.42578125" style="25" bestFit="1" customWidth="1"/>
    <col min="3" max="3" width="18.140625" style="25" bestFit="1" customWidth="1"/>
    <col min="4" max="4" width="22.7109375" style="25" bestFit="1" customWidth="1"/>
    <col min="5" max="16384" width="8.85546875" style="25"/>
  </cols>
  <sheetData>
    <row r="1" spans="1:4" x14ac:dyDescent="0.25">
      <c r="A1" s="11" t="s">
        <v>1</v>
      </c>
      <c r="B1" s="25" t="s">
        <v>2256</v>
      </c>
    </row>
    <row r="2" spans="1:4" x14ac:dyDescent="0.25">
      <c r="A2" s="11" t="s">
        <v>310</v>
      </c>
      <c r="B2" s="25" t="s">
        <v>2257</v>
      </c>
    </row>
    <row r="3" spans="1:4" x14ac:dyDescent="0.25">
      <c r="A3" s="11" t="s">
        <v>320</v>
      </c>
      <c r="B3" s="25">
        <f>MAX(A7:A32)+1</f>
        <v>4</v>
      </c>
    </row>
    <row r="4" spans="1:4" x14ac:dyDescent="0.25">
      <c r="A4" s="11" t="s">
        <v>311</v>
      </c>
      <c r="C4" s="11" t="s">
        <v>483</v>
      </c>
    </row>
    <row r="6" spans="1:4" x14ac:dyDescent="0.25">
      <c r="A6" s="1" t="s">
        <v>2258</v>
      </c>
      <c r="B6" s="1" t="s">
        <v>2244</v>
      </c>
      <c r="C6" s="1" t="s">
        <v>2245</v>
      </c>
      <c r="D6" s="1" t="s">
        <v>2246</v>
      </c>
    </row>
    <row r="7" spans="1:4" x14ac:dyDescent="0.25">
      <c r="A7" s="25">
        <v>1</v>
      </c>
      <c r="B7" s="25">
        <v>1</v>
      </c>
      <c r="C7" s="25">
        <v>56</v>
      </c>
      <c r="D7" s="25">
        <v>2</v>
      </c>
    </row>
    <row r="8" spans="1:4" x14ac:dyDescent="0.25">
      <c r="A8" s="25">
        <v>2</v>
      </c>
      <c r="B8" s="25">
        <v>2</v>
      </c>
      <c r="C8" s="25">
        <v>2</v>
      </c>
      <c r="D8" s="25">
        <v>3</v>
      </c>
    </row>
    <row r="9" spans="1:4" x14ac:dyDescent="0.25">
      <c r="A9" s="25">
        <v>3</v>
      </c>
      <c r="B9" s="25">
        <v>3</v>
      </c>
      <c r="C9" s="25">
        <v>3</v>
      </c>
      <c r="D9" s="25">
        <v>2</v>
      </c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C7"/>
  <sheetViews>
    <sheetView workbookViewId="0">
      <selection activeCell="D1" sqref="D1"/>
    </sheetView>
  </sheetViews>
  <sheetFormatPr defaultColWidth="8.85546875" defaultRowHeight="15" x14ac:dyDescent="0.25"/>
  <cols>
    <col min="1" max="1" width="19.42578125" style="2" customWidth="1"/>
    <col min="2" max="2" width="23.42578125" style="2" bestFit="1" customWidth="1"/>
    <col min="3" max="3" width="18.140625" style="2" bestFit="1" customWidth="1"/>
    <col min="4" max="16384" width="8.85546875" style="2"/>
  </cols>
  <sheetData>
    <row r="1" spans="1:3" x14ac:dyDescent="0.25">
      <c r="A1" s="11" t="s">
        <v>1</v>
      </c>
      <c r="B1" s="2" t="s">
        <v>309</v>
      </c>
    </row>
    <row r="2" spans="1:3" x14ac:dyDescent="0.25">
      <c r="A2" s="11" t="s">
        <v>310</v>
      </c>
    </row>
    <row r="3" spans="1:3" x14ac:dyDescent="0.25">
      <c r="A3" s="11" t="s">
        <v>320</v>
      </c>
    </row>
    <row r="4" spans="1:3" x14ac:dyDescent="0.25">
      <c r="A4" s="11" t="s">
        <v>311</v>
      </c>
      <c r="B4" s="2" t="s">
        <v>319</v>
      </c>
      <c r="C4" s="11" t="s">
        <v>483</v>
      </c>
    </row>
    <row r="6" spans="1:3" x14ac:dyDescent="0.25">
      <c r="A6" s="1" t="s">
        <v>4</v>
      </c>
      <c r="B6" s="1" t="s">
        <v>5</v>
      </c>
      <c r="C6" s="1" t="s">
        <v>6</v>
      </c>
    </row>
    <row r="7" spans="1:3" x14ac:dyDescent="0.25">
      <c r="A7" s="2">
        <v>7</v>
      </c>
      <c r="B7" s="2" t="s">
        <v>7</v>
      </c>
      <c r="C7" s="2" t="s">
        <v>8</v>
      </c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D31"/>
  <sheetViews>
    <sheetView workbookViewId="0">
      <pane ySplit="6" topLeftCell="A7" activePane="bottomLeft" state="frozen"/>
      <selection pane="bottomLeft" activeCell="C12" sqref="C12"/>
    </sheetView>
  </sheetViews>
  <sheetFormatPr defaultColWidth="8.85546875" defaultRowHeight="15" x14ac:dyDescent="0.25"/>
  <cols>
    <col min="1" max="1" width="20" style="2" customWidth="1"/>
    <col min="2" max="2" width="16.42578125" style="2" customWidth="1"/>
    <col min="3" max="3" width="18.140625" style="2" bestFit="1" customWidth="1"/>
    <col min="4" max="4" width="14.42578125" style="2" bestFit="1" customWidth="1"/>
    <col min="5" max="16384" width="8.85546875" style="2"/>
  </cols>
  <sheetData>
    <row r="1" spans="1:4" x14ac:dyDescent="0.25">
      <c r="A1" s="11" t="s">
        <v>1</v>
      </c>
      <c r="B1" s="2" t="s">
        <v>313</v>
      </c>
    </row>
    <row r="2" spans="1:4" x14ac:dyDescent="0.25">
      <c r="A2" s="11" t="s">
        <v>310</v>
      </c>
    </row>
    <row r="3" spans="1:4" x14ac:dyDescent="0.25">
      <c r="A3" s="11" t="s">
        <v>320</v>
      </c>
    </row>
    <row r="4" spans="1:4" x14ac:dyDescent="0.25">
      <c r="A4" s="11" t="s">
        <v>311</v>
      </c>
      <c r="B4" s="2" t="s">
        <v>319</v>
      </c>
      <c r="C4" s="11" t="s">
        <v>483</v>
      </c>
      <c r="D4" s="2" t="s">
        <v>484</v>
      </c>
    </row>
    <row r="6" spans="1:4" x14ac:dyDescent="0.25">
      <c r="A6" s="1" t="s">
        <v>4</v>
      </c>
      <c r="B6" s="1" t="s">
        <v>9</v>
      </c>
    </row>
    <row r="7" spans="1:4" x14ac:dyDescent="0.25">
      <c r="A7" s="2">
        <v>7</v>
      </c>
      <c r="B7" s="2">
        <v>1</v>
      </c>
    </row>
    <row r="8" spans="1:4" x14ac:dyDescent="0.25">
      <c r="A8" s="2">
        <v>7</v>
      </c>
      <c r="B8" s="2">
        <v>2</v>
      </c>
    </row>
    <row r="9" spans="1:4" x14ac:dyDescent="0.25">
      <c r="A9" s="2">
        <v>7</v>
      </c>
      <c r="B9" s="2">
        <v>3</v>
      </c>
    </row>
    <row r="10" spans="1:4" x14ac:dyDescent="0.25">
      <c r="A10" s="2">
        <v>7</v>
      </c>
      <c r="B10" s="2">
        <v>4</v>
      </c>
    </row>
    <row r="11" spans="1:4" x14ac:dyDescent="0.25">
      <c r="A11" s="2">
        <v>7</v>
      </c>
      <c r="B11" s="2">
        <v>5</v>
      </c>
    </row>
    <row r="12" spans="1:4" x14ac:dyDescent="0.25">
      <c r="A12" s="2">
        <v>7</v>
      </c>
      <c r="B12" s="2">
        <v>6</v>
      </c>
    </row>
    <row r="13" spans="1:4" x14ac:dyDescent="0.25">
      <c r="A13" s="2">
        <v>7</v>
      </c>
      <c r="B13" s="2">
        <v>7</v>
      </c>
    </row>
    <row r="14" spans="1:4" x14ac:dyDescent="0.25">
      <c r="A14" s="2">
        <v>7</v>
      </c>
      <c r="B14" s="2">
        <v>9</v>
      </c>
    </row>
    <row r="15" spans="1:4" x14ac:dyDescent="0.25">
      <c r="A15" s="2">
        <v>7</v>
      </c>
      <c r="B15" s="2">
        <v>10</v>
      </c>
    </row>
    <row r="16" spans="1:4" x14ac:dyDescent="0.25">
      <c r="A16" s="2">
        <v>7</v>
      </c>
      <c r="B16" s="2">
        <v>12</v>
      </c>
    </row>
    <row r="17" spans="1:2" x14ac:dyDescent="0.25">
      <c r="A17" s="2">
        <v>7</v>
      </c>
      <c r="B17" s="2">
        <v>13</v>
      </c>
    </row>
    <row r="18" spans="1:2" x14ac:dyDescent="0.25">
      <c r="A18" s="2">
        <v>7</v>
      </c>
      <c r="B18" s="2">
        <v>14</v>
      </c>
    </row>
    <row r="19" spans="1:2" x14ac:dyDescent="0.25">
      <c r="A19" s="2">
        <v>7</v>
      </c>
      <c r="B19" s="2">
        <v>15</v>
      </c>
    </row>
    <row r="20" spans="1:2" x14ac:dyDescent="0.25">
      <c r="A20" s="2">
        <v>7</v>
      </c>
      <c r="B20" s="2">
        <v>16</v>
      </c>
    </row>
    <row r="21" spans="1:2" x14ac:dyDescent="0.25">
      <c r="A21" s="2">
        <v>7</v>
      </c>
      <c r="B21" s="2">
        <v>17</v>
      </c>
    </row>
    <row r="22" spans="1:2" x14ac:dyDescent="0.25">
      <c r="A22" s="2">
        <v>7</v>
      </c>
      <c r="B22" s="2">
        <v>18</v>
      </c>
    </row>
    <row r="23" spans="1:2" x14ac:dyDescent="0.25">
      <c r="A23" s="2">
        <v>7</v>
      </c>
      <c r="B23" s="2">
        <v>19</v>
      </c>
    </row>
    <row r="24" spans="1:2" x14ac:dyDescent="0.25">
      <c r="A24" s="2">
        <v>7</v>
      </c>
      <c r="B24" s="2">
        <v>20</v>
      </c>
    </row>
    <row r="25" spans="1:2" x14ac:dyDescent="0.25">
      <c r="A25" s="2">
        <v>7</v>
      </c>
      <c r="B25" s="2">
        <v>21</v>
      </c>
    </row>
    <row r="26" spans="1:2" x14ac:dyDescent="0.25">
      <c r="A26" s="2">
        <v>7</v>
      </c>
      <c r="B26" s="2">
        <v>22</v>
      </c>
    </row>
    <row r="27" spans="1:2" x14ac:dyDescent="0.25">
      <c r="A27" s="2">
        <v>7</v>
      </c>
      <c r="B27" s="2">
        <v>23</v>
      </c>
    </row>
    <row r="28" spans="1:2" x14ac:dyDescent="0.25">
      <c r="A28" s="2">
        <v>7</v>
      </c>
      <c r="B28" s="2">
        <v>24</v>
      </c>
    </row>
    <row r="29" spans="1:2" x14ac:dyDescent="0.25">
      <c r="A29" s="2">
        <v>7</v>
      </c>
      <c r="B29" s="2">
        <v>25</v>
      </c>
    </row>
    <row r="30" spans="1:2" x14ac:dyDescent="0.25">
      <c r="A30" s="2">
        <v>7</v>
      </c>
      <c r="B30" s="2">
        <v>26</v>
      </c>
    </row>
    <row r="31" spans="1:2" x14ac:dyDescent="0.25">
      <c r="A31" s="2">
        <v>7</v>
      </c>
      <c r="B31" s="2">
        <v>27</v>
      </c>
    </row>
  </sheetData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C14"/>
  <sheetViews>
    <sheetView topLeftCell="A4" workbookViewId="0">
      <selection activeCell="D4" sqref="D4"/>
    </sheetView>
  </sheetViews>
  <sheetFormatPr defaultColWidth="8.85546875" defaultRowHeight="15" x14ac:dyDescent="0.25"/>
  <cols>
    <col min="1" max="1" width="24.85546875" bestFit="1" customWidth="1"/>
    <col min="2" max="2" width="32.85546875" customWidth="1"/>
    <col min="3" max="3" width="18.140625" bestFit="1" customWidth="1"/>
  </cols>
  <sheetData>
    <row r="1" spans="1:3" s="2" customFormat="1" x14ac:dyDescent="0.25">
      <c r="A1" s="11" t="s">
        <v>1</v>
      </c>
      <c r="B1" s="2" t="s">
        <v>314</v>
      </c>
    </row>
    <row r="2" spans="1:3" s="2" customFormat="1" x14ac:dyDescent="0.25">
      <c r="A2" s="11" t="s">
        <v>310</v>
      </c>
    </row>
    <row r="3" spans="1:3" s="2" customFormat="1" x14ac:dyDescent="0.25">
      <c r="A3" s="11" t="s">
        <v>320</v>
      </c>
    </row>
    <row r="4" spans="1:3" s="2" customFormat="1" x14ac:dyDescent="0.25">
      <c r="A4" s="11" t="s">
        <v>311</v>
      </c>
      <c r="B4" s="2" t="s">
        <v>319</v>
      </c>
      <c r="C4" s="11" t="s">
        <v>483</v>
      </c>
    </row>
    <row r="5" spans="1:3" s="2" customFormat="1" x14ac:dyDescent="0.25"/>
    <row r="6" spans="1:3" s="8" customFormat="1" x14ac:dyDescent="0.25">
      <c r="A6" s="7" t="s">
        <v>10</v>
      </c>
      <c r="B6" s="7" t="s">
        <v>11</v>
      </c>
    </row>
    <row r="7" spans="1:3" x14ac:dyDescent="0.25">
      <c r="A7">
        <v>1</v>
      </c>
      <c r="B7" t="s">
        <v>12</v>
      </c>
    </row>
    <row r="8" spans="1:3" x14ac:dyDescent="0.25">
      <c r="A8">
        <v>2</v>
      </c>
      <c r="B8" t="s">
        <v>13</v>
      </c>
    </row>
    <row r="9" spans="1:3" x14ac:dyDescent="0.25">
      <c r="A9">
        <v>3</v>
      </c>
      <c r="B9" t="s">
        <v>14</v>
      </c>
    </row>
    <row r="10" spans="1:3" x14ac:dyDescent="0.25">
      <c r="A10">
        <v>4</v>
      </c>
      <c r="B10" t="s">
        <v>15</v>
      </c>
    </row>
    <row r="11" spans="1:3" x14ac:dyDescent="0.25">
      <c r="A11">
        <v>5</v>
      </c>
      <c r="B11" t="s">
        <v>16</v>
      </c>
    </row>
    <row r="12" spans="1:3" x14ac:dyDescent="0.25">
      <c r="A12">
        <v>6</v>
      </c>
      <c r="B12" t="s">
        <v>17</v>
      </c>
    </row>
    <row r="13" spans="1:3" x14ac:dyDescent="0.25">
      <c r="A13">
        <v>7</v>
      </c>
      <c r="B13" t="s">
        <v>18</v>
      </c>
    </row>
    <row r="14" spans="1:3" x14ac:dyDescent="0.25">
      <c r="A14">
        <v>8</v>
      </c>
      <c r="B14" t="s">
        <v>159</v>
      </c>
    </row>
  </sheetData>
  <pageMargins left="0.511811024" right="0.511811024" top="0.78740157499999996" bottom="0.78740157499999996" header="0.31496062000000002" footer="0.31496062000000002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C544"/>
  <sheetViews>
    <sheetView workbookViewId="0">
      <selection activeCell="B11" sqref="B11"/>
    </sheetView>
  </sheetViews>
  <sheetFormatPr defaultColWidth="8.85546875" defaultRowHeight="15" x14ac:dyDescent="0.25"/>
  <cols>
    <col min="1" max="1" width="28.7109375" customWidth="1"/>
    <col min="2" max="2" width="30.28515625" customWidth="1"/>
    <col min="3" max="3" width="32.140625" customWidth="1"/>
  </cols>
  <sheetData>
    <row r="1" spans="1:3" s="2" customFormat="1" x14ac:dyDescent="0.25">
      <c r="A1" s="11" t="s">
        <v>1</v>
      </c>
      <c r="B1" s="2" t="s">
        <v>1317</v>
      </c>
    </row>
    <row r="2" spans="1:3" s="2" customFormat="1" x14ac:dyDescent="0.25">
      <c r="A2" s="11" t="s">
        <v>310</v>
      </c>
    </row>
    <row r="3" spans="1:3" s="2" customFormat="1" x14ac:dyDescent="0.25">
      <c r="A3" s="11" t="s">
        <v>320</v>
      </c>
    </row>
    <row r="4" spans="1:3" s="2" customFormat="1" x14ac:dyDescent="0.25">
      <c r="A4" s="11" t="s">
        <v>311</v>
      </c>
      <c r="B4" s="2" t="s">
        <v>319</v>
      </c>
      <c r="C4" s="11" t="s">
        <v>483</v>
      </c>
    </row>
    <row r="5" spans="1:3" s="2" customFormat="1" x14ac:dyDescent="0.25"/>
    <row r="6" spans="1:3" x14ac:dyDescent="0.25">
      <c r="A6" s="1" t="s">
        <v>1318</v>
      </c>
      <c r="B6" s="1" t="s">
        <v>1319</v>
      </c>
      <c r="C6" s="1" t="s">
        <v>1320</v>
      </c>
    </row>
    <row r="7" spans="1:3" x14ac:dyDescent="0.25">
      <c r="A7" s="13">
        <v>1</v>
      </c>
      <c r="B7" s="8" t="s">
        <v>1321</v>
      </c>
      <c r="C7" s="21">
        <v>41374</v>
      </c>
    </row>
    <row r="8" spans="1:3" x14ac:dyDescent="0.25">
      <c r="A8" s="13">
        <v>2</v>
      </c>
      <c r="B8" s="8" t="s">
        <v>1322</v>
      </c>
      <c r="C8" s="21">
        <v>41374</v>
      </c>
    </row>
    <row r="9" spans="1:3" x14ac:dyDescent="0.25">
      <c r="A9" s="13">
        <v>3</v>
      </c>
      <c r="B9" s="8" t="s">
        <v>1323</v>
      </c>
      <c r="C9" s="21">
        <v>41374</v>
      </c>
    </row>
    <row r="10" spans="1:3" x14ac:dyDescent="0.25">
      <c r="A10" s="13">
        <v>4</v>
      </c>
      <c r="B10" s="8" t="s">
        <v>1324</v>
      </c>
      <c r="C10" s="21">
        <v>41374</v>
      </c>
    </row>
    <row r="11" spans="1:3" x14ac:dyDescent="0.25">
      <c r="A11" s="13">
        <v>9</v>
      </c>
      <c r="B11" s="8" t="s">
        <v>1325</v>
      </c>
      <c r="C11" s="21">
        <v>41374</v>
      </c>
    </row>
    <row r="12" spans="1:3" x14ac:dyDescent="0.25">
      <c r="A12" s="13"/>
      <c r="B12" s="8"/>
    </row>
    <row r="13" spans="1:3" x14ac:dyDescent="0.25">
      <c r="A13" s="13"/>
      <c r="B13" s="8"/>
    </row>
    <row r="14" spans="1:3" x14ac:dyDescent="0.25">
      <c r="A14" s="13"/>
      <c r="B14" s="8"/>
    </row>
    <row r="15" spans="1:3" x14ac:dyDescent="0.25">
      <c r="A15" s="13"/>
      <c r="B15" s="8"/>
    </row>
    <row r="16" spans="1:3" x14ac:dyDescent="0.25">
      <c r="A16" s="13"/>
      <c r="B16" s="8"/>
    </row>
    <row r="17" spans="1:2" x14ac:dyDescent="0.25">
      <c r="A17" s="13"/>
      <c r="B17" s="8"/>
    </row>
    <row r="18" spans="1:2" x14ac:dyDescent="0.25">
      <c r="A18" s="13"/>
      <c r="B18" s="8"/>
    </row>
    <row r="19" spans="1:2" x14ac:dyDescent="0.25">
      <c r="A19" s="13"/>
      <c r="B19" s="8"/>
    </row>
    <row r="20" spans="1:2" x14ac:dyDescent="0.25">
      <c r="A20" s="13"/>
      <c r="B20" s="8"/>
    </row>
    <row r="21" spans="1:2" x14ac:dyDescent="0.25">
      <c r="A21" s="13"/>
      <c r="B21" s="8"/>
    </row>
    <row r="22" spans="1:2" x14ac:dyDescent="0.25">
      <c r="A22" s="13"/>
      <c r="B22" s="8"/>
    </row>
    <row r="23" spans="1:2" x14ac:dyDescent="0.25">
      <c r="A23" s="13"/>
      <c r="B23" s="8"/>
    </row>
    <row r="24" spans="1:2" x14ac:dyDescent="0.25">
      <c r="A24" s="13"/>
      <c r="B24" s="8"/>
    </row>
    <row r="25" spans="1:2" x14ac:dyDescent="0.25">
      <c r="A25" s="13"/>
      <c r="B25" s="8"/>
    </row>
    <row r="26" spans="1:2" x14ac:dyDescent="0.25">
      <c r="A26" s="13"/>
      <c r="B26" s="8"/>
    </row>
    <row r="27" spans="1:2" x14ac:dyDescent="0.25">
      <c r="A27" s="13"/>
      <c r="B27" s="8"/>
    </row>
    <row r="28" spans="1:2" x14ac:dyDescent="0.25">
      <c r="A28" s="13"/>
      <c r="B28" s="8"/>
    </row>
    <row r="29" spans="1:2" x14ac:dyDescent="0.25">
      <c r="A29" s="13"/>
      <c r="B29" s="8"/>
    </row>
    <row r="30" spans="1:2" x14ac:dyDescent="0.25">
      <c r="A30" s="13"/>
      <c r="B30" s="8"/>
    </row>
    <row r="31" spans="1:2" x14ac:dyDescent="0.25">
      <c r="A31" s="13"/>
      <c r="B31" s="8"/>
    </row>
    <row r="32" spans="1:2" x14ac:dyDescent="0.25">
      <c r="A32" s="13"/>
      <c r="B32" s="8"/>
    </row>
    <row r="33" spans="1:2" x14ac:dyDescent="0.25">
      <c r="A33" s="13"/>
      <c r="B33" s="8"/>
    </row>
    <row r="34" spans="1:2" x14ac:dyDescent="0.25">
      <c r="A34" s="13"/>
      <c r="B34" s="8"/>
    </row>
    <row r="35" spans="1:2" x14ac:dyDescent="0.25">
      <c r="A35" s="13"/>
      <c r="B35" s="8"/>
    </row>
    <row r="36" spans="1:2" x14ac:dyDescent="0.25">
      <c r="A36" s="13"/>
      <c r="B36" s="8"/>
    </row>
    <row r="37" spans="1:2" x14ac:dyDescent="0.25">
      <c r="A37" s="13"/>
    </row>
    <row r="38" spans="1:2" x14ac:dyDescent="0.25">
      <c r="A38" s="13"/>
    </row>
    <row r="39" spans="1:2" x14ac:dyDescent="0.25">
      <c r="A39" s="13"/>
    </row>
    <row r="40" spans="1:2" x14ac:dyDescent="0.25">
      <c r="A40" s="13"/>
    </row>
    <row r="41" spans="1:2" x14ac:dyDescent="0.25">
      <c r="A41" s="13"/>
    </row>
    <row r="42" spans="1:2" x14ac:dyDescent="0.25">
      <c r="A42" s="13"/>
    </row>
    <row r="43" spans="1:2" x14ac:dyDescent="0.25">
      <c r="A43" s="13"/>
    </row>
    <row r="44" spans="1:2" x14ac:dyDescent="0.25">
      <c r="A44" s="13"/>
    </row>
    <row r="45" spans="1:2" x14ac:dyDescent="0.25">
      <c r="A45" s="13"/>
    </row>
    <row r="46" spans="1:2" x14ac:dyDescent="0.25">
      <c r="A46" s="13"/>
    </row>
    <row r="47" spans="1:2" x14ac:dyDescent="0.25">
      <c r="A47" s="13"/>
    </row>
    <row r="48" spans="1:2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  <row r="543" spans="1:1" x14ac:dyDescent="0.25">
      <c r="A543" s="13"/>
    </row>
    <row r="544" spans="1:1" x14ac:dyDescent="0.25">
      <c r="A544" s="13"/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147"/>
  <sheetViews>
    <sheetView zoomScale="90" zoomScaleNormal="90" zoomScalePageLayoutView="90" workbookViewId="0">
      <pane xSplit="1" ySplit="6" topLeftCell="B121" activePane="bottomRight" state="frozen"/>
      <selection pane="topRight" activeCell="B1" sqref="B1"/>
      <selection pane="bottomLeft" activeCell="A7" sqref="A7"/>
      <selection pane="bottomRight" activeCell="H147" sqref="H147"/>
    </sheetView>
  </sheetViews>
  <sheetFormatPr defaultColWidth="8.85546875" defaultRowHeight="15" x14ac:dyDescent="0.25"/>
  <cols>
    <col min="1" max="1" width="17.42578125" style="2" bestFit="1" customWidth="1"/>
    <col min="2" max="2" width="19.140625" style="2" customWidth="1"/>
    <col min="3" max="3" width="23.42578125" style="2" bestFit="1" customWidth="1"/>
    <col min="4" max="5" width="23.42578125" style="2" customWidth="1"/>
    <col min="6" max="6" width="28.140625" style="2" customWidth="1"/>
    <col min="7" max="7" width="8.42578125" style="2" customWidth="1"/>
    <col min="8" max="8" width="37.140625" style="2" customWidth="1"/>
    <col min="9" max="9" width="41.42578125" style="2" customWidth="1"/>
    <col min="10" max="10" width="35.85546875" style="2" bestFit="1" customWidth="1"/>
    <col min="11" max="16384" width="8.85546875" style="2"/>
  </cols>
  <sheetData>
    <row r="1" spans="1:10" x14ac:dyDescent="0.25">
      <c r="A1" s="11" t="s">
        <v>1</v>
      </c>
      <c r="B1" s="2" t="s">
        <v>315</v>
      </c>
    </row>
    <row r="2" spans="1:10" x14ac:dyDescent="0.25">
      <c r="A2" s="11" t="s">
        <v>310</v>
      </c>
      <c r="B2" s="2" t="s">
        <v>449</v>
      </c>
    </row>
    <row r="3" spans="1:10" x14ac:dyDescent="0.25">
      <c r="A3" s="11" t="s">
        <v>320</v>
      </c>
      <c r="B3" s="2">
        <f>MAX(A7:A7126)+1</f>
        <v>142</v>
      </c>
    </row>
    <row r="4" spans="1:10" x14ac:dyDescent="0.25">
      <c r="A4" s="11" t="s">
        <v>311</v>
      </c>
      <c r="B4" s="2" t="s">
        <v>319</v>
      </c>
      <c r="C4" s="11" t="s">
        <v>483</v>
      </c>
      <c r="D4" s="2" t="s">
        <v>484</v>
      </c>
    </row>
    <row r="6" spans="1:10" x14ac:dyDescent="0.25">
      <c r="A6" s="1" t="s">
        <v>431</v>
      </c>
      <c r="B6" s="1" t="s">
        <v>4</v>
      </c>
      <c r="C6" s="1" t="s">
        <v>10</v>
      </c>
      <c r="D6" s="1" t="s">
        <v>485</v>
      </c>
      <c r="E6" s="1" t="s">
        <v>355</v>
      </c>
      <c r="F6" s="1" t="s">
        <v>482</v>
      </c>
      <c r="G6" s="1" t="s">
        <v>21</v>
      </c>
      <c r="H6" s="1" t="s">
        <v>22</v>
      </c>
      <c r="I6" s="1" t="s">
        <v>19</v>
      </c>
      <c r="J6" s="1" t="s">
        <v>20</v>
      </c>
    </row>
    <row r="7" spans="1:10" x14ac:dyDescent="0.25">
      <c r="A7" s="2">
        <v>1</v>
      </c>
      <c r="B7" s="2">
        <v>7</v>
      </c>
      <c r="C7">
        <v>5</v>
      </c>
      <c r="D7" t="str">
        <f>VLOOKUP(C7,TB_ICO_TIPO_RECURSO_PROTEGIDO!$A$7:$I$1165,2,FALSE)</f>
        <v>Item de menu</v>
      </c>
      <c r="E7"/>
      <c r="F7" t="str">
        <f t="shared" ref="F7:F38" si="0">IF(ISERROR(VLOOKUP(E7,$A$7:$I$1172,9,FALSE)),"-",VLOOKUP(E7,$A$7:$I$1172,9,FALSE))</f>
        <v>-</v>
      </c>
      <c r="G7" s="2">
        <v>1</v>
      </c>
      <c r="H7" t="s">
        <v>390</v>
      </c>
      <c r="I7" s="2" t="s">
        <v>273</v>
      </c>
      <c r="J7" s="10" t="s">
        <v>273</v>
      </c>
    </row>
    <row r="8" spans="1:10" x14ac:dyDescent="0.25">
      <c r="A8" s="2">
        <f>A7+1</f>
        <v>2</v>
      </c>
      <c r="B8" s="2">
        <v>7</v>
      </c>
      <c r="C8">
        <v>3</v>
      </c>
      <c r="D8" t="str">
        <f>VLOOKUP(C8,TB_ICO_TIPO_RECURSO_PROTEGIDO!$A$7:$I$1165,2,FALSE)</f>
        <v>Grupo de Componentes</v>
      </c>
      <c r="E8">
        <v>1</v>
      </c>
      <c r="F8" t="str">
        <f t="shared" si="0"/>
        <v>Segurança</v>
      </c>
      <c r="G8" s="2">
        <f>G7+1</f>
        <v>2</v>
      </c>
      <c r="H8" t="s">
        <v>391</v>
      </c>
      <c r="I8" s="2" t="s">
        <v>23</v>
      </c>
      <c r="J8" s="2" t="s">
        <v>23</v>
      </c>
    </row>
    <row r="9" spans="1:10" x14ac:dyDescent="0.25">
      <c r="A9" s="25">
        <f t="shared" ref="A9:A72" si="1">A8+1</f>
        <v>3</v>
      </c>
      <c r="B9" s="2">
        <v>7</v>
      </c>
      <c r="C9">
        <v>3</v>
      </c>
      <c r="D9" t="str">
        <f>VLOOKUP(C9,TB_ICO_TIPO_RECURSO_PROTEGIDO!$A$7:$I$1165,2,FALSE)</f>
        <v>Grupo de Componentes</v>
      </c>
      <c r="E9">
        <v>2</v>
      </c>
      <c r="F9" t="str">
        <f t="shared" si="0"/>
        <v>Manter usuários</v>
      </c>
      <c r="G9" s="25">
        <f t="shared" ref="G9:G72" si="2">G8+1</f>
        <v>3</v>
      </c>
      <c r="H9" t="s">
        <v>392</v>
      </c>
      <c r="I9" s="2" t="s">
        <v>356</v>
      </c>
      <c r="J9" s="2" t="s">
        <v>356</v>
      </c>
    </row>
    <row r="10" spans="1:10" x14ac:dyDescent="0.25">
      <c r="A10" s="25">
        <f t="shared" si="1"/>
        <v>4</v>
      </c>
      <c r="B10" s="2">
        <v>7</v>
      </c>
      <c r="C10">
        <v>3</v>
      </c>
      <c r="D10" t="str">
        <f>VLOOKUP(C10,TB_ICO_TIPO_RECURSO_PROTEGIDO!$A$7:$I$1165,2,FALSE)</f>
        <v>Grupo de Componentes</v>
      </c>
      <c r="E10">
        <v>2</v>
      </c>
      <c r="F10" t="str">
        <f t="shared" si="0"/>
        <v>Manter usuários</v>
      </c>
      <c r="G10" s="25">
        <f t="shared" si="2"/>
        <v>4</v>
      </c>
      <c r="H10" t="s">
        <v>393</v>
      </c>
      <c r="I10" s="2" t="s">
        <v>357</v>
      </c>
      <c r="J10" s="2" t="s">
        <v>357</v>
      </c>
    </row>
    <row r="11" spans="1:10" x14ac:dyDescent="0.25">
      <c r="A11" s="25">
        <f t="shared" si="1"/>
        <v>5</v>
      </c>
      <c r="B11" s="2">
        <v>7</v>
      </c>
      <c r="C11">
        <v>3</v>
      </c>
      <c r="D11" t="str">
        <f>VLOOKUP(C11,TB_ICO_TIPO_RECURSO_PROTEGIDO!$A$7:$I$1165,2,FALSE)</f>
        <v>Grupo de Componentes</v>
      </c>
      <c r="E11">
        <v>2</v>
      </c>
      <c r="F11" t="str">
        <f t="shared" si="0"/>
        <v>Manter usuários</v>
      </c>
      <c r="G11" s="25">
        <f t="shared" si="2"/>
        <v>5</v>
      </c>
      <c r="H11" t="s">
        <v>394</v>
      </c>
      <c r="I11" s="2" t="s">
        <v>358</v>
      </c>
      <c r="J11" s="2" t="s">
        <v>358</v>
      </c>
    </row>
    <row r="12" spans="1:10" x14ac:dyDescent="0.25">
      <c r="A12" s="25">
        <f t="shared" si="1"/>
        <v>6</v>
      </c>
      <c r="B12" s="2">
        <v>7</v>
      </c>
      <c r="C12">
        <v>3</v>
      </c>
      <c r="D12" t="str">
        <f>VLOOKUP(C12,TB_ICO_TIPO_RECURSO_PROTEGIDO!$A$7:$I$1165,2,FALSE)</f>
        <v>Grupo de Componentes</v>
      </c>
      <c r="E12">
        <v>2</v>
      </c>
      <c r="F12" t="str">
        <f t="shared" si="0"/>
        <v>Manter usuários</v>
      </c>
      <c r="G12" s="25">
        <f t="shared" si="2"/>
        <v>6</v>
      </c>
      <c r="H12" t="s">
        <v>395</v>
      </c>
      <c r="I12" s="2" t="s">
        <v>359</v>
      </c>
      <c r="J12" s="2" t="s">
        <v>359</v>
      </c>
    </row>
    <row r="13" spans="1:10" x14ac:dyDescent="0.25">
      <c r="A13" s="25">
        <f t="shared" si="1"/>
        <v>7</v>
      </c>
      <c r="B13" s="2">
        <v>7</v>
      </c>
      <c r="C13">
        <v>3</v>
      </c>
      <c r="D13" t="str">
        <f>VLOOKUP(C13,TB_ICO_TIPO_RECURSO_PROTEGIDO!$A$7:$I$1165,2,FALSE)</f>
        <v>Grupo de Componentes</v>
      </c>
      <c r="E13">
        <v>2</v>
      </c>
      <c r="F13" t="str">
        <f t="shared" si="0"/>
        <v>Manter usuários</v>
      </c>
      <c r="G13" s="25">
        <f t="shared" si="2"/>
        <v>7</v>
      </c>
      <c r="H13" t="s">
        <v>396</v>
      </c>
      <c r="I13" s="2" t="s">
        <v>360</v>
      </c>
      <c r="J13" s="2" t="s">
        <v>360</v>
      </c>
    </row>
    <row r="14" spans="1:10" x14ac:dyDescent="0.25">
      <c r="A14" s="25">
        <f t="shared" si="1"/>
        <v>8</v>
      </c>
      <c r="B14" s="2">
        <v>7</v>
      </c>
      <c r="C14">
        <v>3</v>
      </c>
      <c r="D14" t="str">
        <f>VLOOKUP(C14,TB_ICO_TIPO_RECURSO_PROTEGIDO!$A$7:$I$1165,2,FALSE)</f>
        <v>Grupo de Componentes</v>
      </c>
      <c r="E14">
        <v>2</v>
      </c>
      <c r="F14" t="str">
        <f t="shared" si="0"/>
        <v>Manter usuários</v>
      </c>
      <c r="G14" s="25">
        <f t="shared" si="2"/>
        <v>8</v>
      </c>
      <c r="H14" t="s">
        <v>397</v>
      </c>
      <c r="I14" s="2" t="s">
        <v>361</v>
      </c>
      <c r="J14" s="2" t="s">
        <v>361</v>
      </c>
    </row>
    <row r="15" spans="1:10" x14ac:dyDescent="0.25">
      <c r="A15" s="25">
        <f t="shared" si="1"/>
        <v>9</v>
      </c>
      <c r="B15" s="2">
        <v>7</v>
      </c>
      <c r="C15">
        <v>3</v>
      </c>
      <c r="D15" t="str">
        <f>VLOOKUP(C15,TB_ICO_TIPO_RECURSO_PROTEGIDO!$A$7:$I$1165,2,FALSE)</f>
        <v>Grupo de Componentes</v>
      </c>
      <c r="E15">
        <v>2</v>
      </c>
      <c r="F15" t="str">
        <f t="shared" si="0"/>
        <v>Manter usuários</v>
      </c>
      <c r="G15" s="25">
        <f t="shared" si="2"/>
        <v>9</v>
      </c>
      <c r="H15" t="s">
        <v>398</v>
      </c>
      <c r="I15" s="2" t="s">
        <v>362</v>
      </c>
      <c r="J15" s="2" t="s">
        <v>362</v>
      </c>
    </row>
    <row r="16" spans="1:10" x14ac:dyDescent="0.25">
      <c r="A16" s="25">
        <f t="shared" si="1"/>
        <v>10</v>
      </c>
      <c r="B16" s="2">
        <v>7</v>
      </c>
      <c r="C16">
        <v>3</v>
      </c>
      <c r="D16" t="str">
        <f>VLOOKUP(C16,TB_ICO_TIPO_RECURSO_PROTEGIDO!$A$7:$I$1165,2,FALSE)</f>
        <v>Grupo de Componentes</v>
      </c>
      <c r="E16">
        <v>2</v>
      </c>
      <c r="F16" t="str">
        <f t="shared" si="0"/>
        <v>Manter usuários</v>
      </c>
      <c r="G16" s="25">
        <f t="shared" si="2"/>
        <v>10</v>
      </c>
      <c r="H16" t="s">
        <v>399</v>
      </c>
      <c r="I16" s="2" t="s">
        <v>363</v>
      </c>
      <c r="J16" s="2" t="s">
        <v>363</v>
      </c>
    </row>
    <row r="17" spans="1:10" x14ac:dyDescent="0.25">
      <c r="A17" s="25">
        <f t="shared" si="1"/>
        <v>11</v>
      </c>
      <c r="B17" s="2">
        <v>7</v>
      </c>
      <c r="C17">
        <v>3</v>
      </c>
      <c r="D17" t="str">
        <f>VLOOKUP(C17,TB_ICO_TIPO_RECURSO_PROTEGIDO!$A$7:$I$1165,2,FALSE)</f>
        <v>Grupo de Componentes</v>
      </c>
      <c r="E17">
        <v>2</v>
      </c>
      <c r="F17" t="str">
        <f t="shared" si="0"/>
        <v>Manter usuários</v>
      </c>
      <c r="G17" s="25">
        <f t="shared" si="2"/>
        <v>11</v>
      </c>
      <c r="H17" t="s">
        <v>400</v>
      </c>
      <c r="I17" s="2" t="s">
        <v>364</v>
      </c>
      <c r="J17" s="2" t="s">
        <v>364</v>
      </c>
    </row>
    <row r="18" spans="1:10" x14ac:dyDescent="0.25">
      <c r="A18" s="25">
        <f t="shared" si="1"/>
        <v>12</v>
      </c>
      <c r="B18" s="2">
        <v>7</v>
      </c>
      <c r="C18">
        <v>3</v>
      </c>
      <c r="D18" t="str">
        <f>VLOOKUP(C18,TB_ICO_TIPO_RECURSO_PROTEGIDO!$A$7:$I$1165,2,FALSE)</f>
        <v>Grupo de Componentes</v>
      </c>
      <c r="E18">
        <v>2</v>
      </c>
      <c r="F18" t="str">
        <f t="shared" si="0"/>
        <v>Manter usuários</v>
      </c>
      <c r="G18" s="25">
        <f t="shared" si="2"/>
        <v>12</v>
      </c>
      <c r="H18" t="s">
        <v>401</v>
      </c>
      <c r="I18" s="2" t="s">
        <v>365</v>
      </c>
      <c r="J18" s="2" t="s">
        <v>365</v>
      </c>
    </row>
    <row r="19" spans="1:10" x14ac:dyDescent="0.25">
      <c r="A19" s="25">
        <f t="shared" si="1"/>
        <v>13</v>
      </c>
      <c r="B19" s="2">
        <v>7</v>
      </c>
      <c r="C19">
        <v>3</v>
      </c>
      <c r="D19" t="str">
        <f>VLOOKUP(C19,TB_ICO_TIPO_RECURSO_PROTEGIDO!$A$7:$I$1165,2,FALSE)</f>
        <v>Grupo de Componentes</v>
      </c>
      <c r="E19">
        <v>1</v>
      </c>
      <c r="F19" t="str">
        <f t="shared" si="0"/>
        <v>Segurança</v>
      </c>
      <c r="G19" s="25">
        <f t="shared" si="2"/>
        <v>13</v>
      </c>
      <c r="H19" t="s">
        <v>402</v>
      </c>
      <c r="I19" s="2" t="s">
        <v>366</v>
      </c>
      <c r="J19" s="2" t="s">
        <v>366</v>
      </c>
    </row>
    <row r="20" spans="1:10" x14ac:dyDescent="0.25">
      <c r="A20" s="25">
        <f t="shared" si="1"/>
        <v>14</v>
      </c>
      <c r="B20" s="2">
        <v>7</v>
      </c>
      <c r="C20">
        <v>3</v>
      </c>
      <c r="D20" t="str">
        <f>VLOOKUP(C20,TB_ICO_TIPO_RECURSO_PROTEGIDO!$A$7:$I$1165,2,FALSE)</f>
        <v>Grupo de Componentes</v>
      </c>
      <c r="E20">
        <v>13</v>
      </c>
      <c r="F20" t="str">
        <f t="shared" si="0"/>
        <v>Manter perfis de usuário</v>
      </c>
      <c r="G20" s="25">
        <f t="shared" si="2"/>
        <v>14</v>
      </c>
      <c r="H20" t="s">
        <v>403</v>
      </c>
      <c r="I20" s="2" t="s">
        <v>185</v>
      </c>
      <c r="J20" s="2" t="s">
        <v>185</v>
      </c>
    </row>
    <row r="21" spans="1:10" x14ac:dyDescent="0.25">
      <c r="A21" s="25">
        <f t="shared" si="1"/>
        <v>15</v>
      </c>
      <c r="B21" s="2">
        <v>7</v>
      </c>
      <c r="C21">
        <v>3</v>
      </c>
      <c r="D21" t="str">
        <f>VLOOKUP(C21,TB_ICO_TIPO_RECURSO_PROTEGIDO!$A$7:$I$1165,2,FALSE)</f>
        <v>Grupo de Componentes</v>
      </c>
      <c r="E21">
        <v>13</v>
      </c>
      <c r="F21" t="str">
        <f t="shared" si="0"/>
        <v>Manter perfis de usuário</v>
      </c>
      <c r="G21" s="25">
        <f t="shared" si="2"/>
        <v>15</v>
      </c>
      <c r="H21" t="s">
        <v>404</v>
      </c>
      <c r="I21" s="2" t="s">
        <v>367</v>
      </c>
      <c r="J21" s="2" t="s">
        <v>367</v>
      </c>
    </row>
    <row r="22" spans="1:10" x14ac:dyDescent="0.25">
      <c r="A22" s="25">
        <f t="shared" si="1"/>
        <v>16</v>
      </c>
      <c r="B22" s="2">
        <v>7</v>
      </c>
      <c r="C22">
        <v>3</v>
      </c>
      <c r="D22" t="str">
        <f>VLOOKUP(C22,TB_ICO_TIPO_RECURSO_PROTEGIDO!$A$7:$I$1165,2,FALSE)</f>
        <v>Grupo de Componentes</v>
      </c>
      <c r="E22">
        <v>13</v>
      </c>
      <c r="F22" t="str">
        <f t="shared" si="0"/>
        <v>Manter perfis de usuário</v>
      </c>
      <c r="G22" s="25">
        <f t="shared" si="2"/>
        <v>16</v>
      </c>
      <c r="H22" t="s">
        <v>405</v>
      </c>
      <c r="I22" s="2" t="s">
        <v>368</v>
      </c>
      <c r="J22" s="2" t="s">
        <v>368</v>
      </c>
    </row>
    <row r="23" spans="1:10" x14ac:dyDescent="0.25">
      <c r="A23" s="25">
        <f t="shared" si="1"/>
        <v>17</v>
      </c>
      <c r="B23" s="2">
        <v>7</v>
      </c>
      <c r="C23">
        <v>3</v>
      </c>
      <c r="D23" t="str">
        <f>VLOOKUP(C23,TB_ICO_TIPO_RECURSO_PROTEGIDO!$A$7:$I$1165,2,FALSE)</f>
        <v>Grupo de Componentes</v>
      </c>
      <c r="E23">
        <v>13</v>
      </c>
      <c r="F23" t="str">
        <f t="shared" si="0"/>
        <v>Manter perfis de usuário</v>
      </c>
      <c r="G23" s="25">
        <f t="shared" si="2"/>
        <v>17</v>
      </c>
      <c r="H23" t="s">
        <v>406</v>
      </c>
      <c r="I23" s="2" t="s">
        <v>369</v>
      </c>
      <c r="J23" s="2" t="s">
        <v>369</v>
      </c>
    </row>
    <row r="24" spans="1:10" x14ac:dyDescent="0.25">
      <c r="A24" s="25">
        <f t="shared" si="1"/>
        <v>18</v>
      </c>
      <c r="B24" s="2">
        <v>7</v>
      </c>
      <c r="C24">
        <v>3</v>
      </c>
      <c r="D24" t="str">
        <f>VLOOKUP(C24,TB_ICO_TIPO_RECURSO_PROTEGIDO!$A$7:$I$1165,2,FALSE)</f>
        <v>Grupo de Componentes</v>
      </c>
      <c r="E24">
        <v>13</v>
      </c>
      <c r="F24" t="str">
        <f t="shared" si="0"/>
        <v>Manter perfis de usuário</v>
      </c>
      <c r="G24" s="25">
        <f t="shared" si="2"/>
        <v>18</v>
      </c>
      <c r="H24" t="s">
        <v>407</v>
      </c>
      <c r="I24" s="2" t="s">
        <v>357</v>
      </c>
      <c r="J24" s="2" t="s">
        <v>357</v>
      </c>
    </row>
    <row r="25" spans="1:10" x14ac:dyDescent="0.25">
      <c r="A25" s="25">
        <f t="shared" si="1"/>
        <v>19</v>
      </c>
      <c r="B25" s="2">
        <v>7</v>
      </c>
      <c r="C25">
        <v>3</v>
      </c>
      <c r="D25" t="str">
        <f>VLOOKUP(C25,TB_ICO_TIPO_RECURSO_PROTEGIDO!$A$7:$I$1165,2,FALSE)</f>
        <v>Grupo de Componentes</v>
      </c>
      <c r="E25">
        <v>13</v>
      </c>
      <c r="F25" t="str">
        <f t="shared" si="0"/>
        <v>Manter perfis de usuário</v>
      </c>
      <c r="G25" s="25">
        <f t="shared" si="2"/>
        <v>19</v>
      </c>
      <c r="H25" t="s">
        <v>408</v>
      </c>
      <c r="I25" s="2" t="s">
        <v>370</v>
      </c>
      <c r="J25" s="2" t="s">
        <v>370</v>
      </c>
    </row>
    <row r="26" spans="1:10" x14ac:dyDescent="0.25">
      <c r="A26" s="25">
        <f t="shared" si="1"/>
        <v>20</v>
      </c>
      <c r="B26" s="2">
        <v>7</v>
      </c>
      <c r="C26">
        <v>3</v>
      </c>
      <c r="D26" t="str">
        <f>VLOOKUP(C26,TB_ICO_TIPO_RECURSO_PROTEGIDO!$A$7:$I$1165,2,FALSE)</f>
        <v>Grupo de Componentes</v>
      </c>
      <c r="E26">
        <v>13</v>
      </c>
      <c r="F26" t="str">
        <f t="shared" si="0"/>
        <v>Manter perfis de usuário</v>
      </c>
      <c r="G26" s="25">
        <f t="shared" si="2"/>
        <v>20</v>
      </c>
      <c r="H26" t="s">
        <v>409</v>
      </c>
      <c r="I26" s="2" t="s">
        <v>371</v>
      </c>
      <c r="J26" s="2" t="s">
        <v>371</v>
      </c>
    </row>
    <row r="27" spans="1:10" x14ac:dyDescent="0.25">
      <c r="A27" s="25">
        <f t="shared" si="1"/>
        <v>21</v>
      </c>
      <c r="B27" s="2">
        <v>7</v>
      </c>
      <c r="C27">
        <v>3</v>
      </c>
      <c r="D27" t="str">
        <f>VLOOKUP(C27,TB_ICO_TIPO_RECURSO_PROTEGIDO!$A$7:$I$1165,2,FALSE)</f>
        <v>Grupo de Componentes</v>
      </c>
      <c r="E27">
        <v>13</v>
      </c>
      <c r="F27" t="str">
        <f t="shared" si="0"/>
        <v>Manter perfis de usuário</v>
      </c>
      <c r="G27" s="25">
        <f t="shared" si="2"/>
        <v>21</v>
      </c>
      <c r="H27" t="s">
        <v>410</v>
      </c>
      <c r="I27" s="2" t="s">
        <v>372</v>
      </c>
      <c r="J27" s="2" t="s">
        <v>372</v>
      </c>
    </row>
    <row r="28" spans="1:10" x14ac:dyDescent="0.25">
      <c r="A28" s="25">
        <f t="shared" si="1"/>
        <v>22</v>
      </c>
      <c r="B28" s="2">
        <v>7</v>
      </c>
      <c r="C28">
        <v>3</v>
      </c>
      <c r="D28" t="str">
        <f>VLOOKUP(C28,TB_ICO_TIPO_RECURSO_PROTEGIDO!$A$7:$I$1165,2,FALSE)</f>
        <v>Grupo de Componentes</v>
      </c>
      <c r="E28">
        <v>1</v>
      </c>
      <c r="F28" t="str">
        <f t="shared" si="0"/>
        <v>Segurança</v>
      </c>
      <c r="G28" s="25">
        <f t="shared" si="2"/>
        <v>22</v>
      </c>
      <c r="H28" t="s">
        <v>411</v>
      </c>
      <c r="I28" s="2" t="s">
        <v>349</v>
      </c>
      <c r="J28" s="2" t="s">
        <v>349</v>
      </c>
    </row>
    <row r="29" spans="1:10" x14ac:dyDescent="0.25">
      <c r="A29" s="25">
        <f t="shared" si="1"/>
        <v>23</v>
      </c>
      <c r="B29" s="2">
        <v>7</v>
      </c>
      <c r="C29">
        <v>3</v>
      </c>
      <c r="D29" t="str">
        <f>VLOOKUP(C29,TB_ICO_TIPO_RECURSO_PROTEGIDO!$A$7:$I$1165,2,FALSE)</f>
        <v>Grupo de Componentes</v>
      </c>
      <c r="E29">
        <v>22</v>
      </c>
      <c r="F29" t="str">
        <f t="shared" si="0"/>
        <v>Manter recursos</v>
      </c>
      <c r="G29" s="25">
        <f t="shared" si="2"/>
        <v>23</v>
      </c>
      <c r="H29" t="s">
        <v>412</v>
      </c>
      <c r="I29" s="2" t="s">
        <v>373</v>
      </c>
      <c r="J29" s="2" t="s">
        <v>373</v>
      </c>
    </row>
    <row r="30" spans="1:10" x14ac:dyDescent="0.25">
      <c r="A30" s="25">
        <f t="shared" si="1"/>
        <v>24</v>
      </c>
      <c r="B30" s="2">
        <v>7</v>
      </c>
      <c r="C30">
        <v>3</v>
      </c>
      <c r="D30" t="str">
        <f>VLOOKUP(C30,TB_ICO_TIPO_RECURSO_PROTEGIDO!$A$7:$I$1165,2,FALSE)</f>
        <v>Grupo de Componentes</v>
      </c>
      <c r="E30">
        <v>22</v>
      </c>
      <c r="F30" t="str">
        <f t="shared" si="0"/>
        <v>Manter recursos</v>
      </c>
      <c r="G30" s="25">
        <f t="shared" si="2"/>
        <v>24</v>
      </c>
      <c r="H30" t="s">
        <v>413</v>
      </c>
      <c r="I30" s="2" t="s">
        <v>374</v>
      </c>
      <c r="J30" s="2" t="s">
        <v>374</v>
      </c>
    </row>
    <row r="31" spans="1:10" x14ac:dyDescent="0.25">
      <c r="A31" s="25">
        <f t="shared" si="1"/>
        <v>25</v>
      </c>
      <c r="B31" s="2">
        <v>7</v>
      </c>
      <c r="C31">
        <v>3</v>
      </c>
      <c r="D31" t="str">
        <f>VLOOKUP(C31,TB_ICO_TIPO_RECURSO_PROTEGIDO!$A$7:$I$1165,2,FALSE)</f>
        <v>Grupo de Componentes</v>
      </c>
      <c r="E31">
        <v>22</v>
      </c>
      <c r="F31" t="str">
        <f t="shared" si="0"/>
        <v>Manter recursos</v>
      </c>
      <c r="G31" s="25">
        <f t="shared" si="2"/>
        <v>25</v>
      </c>
      <c r="H31" t="s">
        <v>414</v>
      </c>
      <c r="I31" s="2" t="s">
        <v>375</v>
      </c>
      <c r="J31" s="2" t="s">
        <v>375</v>
      </c>
    </row>
    <row r="32" spans="1:10" x14ac:dyDescent="0.25">
      <c r="A32" s="25">
        <f t="shared" si="1"/>
        <v>26</v>
      </c>
      <c r="B32" s="2">
        <v>7</v>
      </c>
      <c r="C32">
        <v>3</v>
      </c>
      <c r="D32" t="str">
        <f>VLOOKUP(C32,TB_ICO_TIPO_RECURSO_PROTEGIDO!$A$7:$I$1165,2,FALSE)</f>
        <v>Grupo de Componentes</v>
      </c>
      <c r="E32">
        <v>22</v>
      </c>
      <c r="F32" t="str">
        <f t="shared" si="0"/>
        <v>Manter recursos</v>
      </c>
      <c r="G32" s="25">
        <f t="shared" si="2"/>
        <v>26</v>
      </c>
      <c r="H32" t="s">
        <v>415</v>
      </c>
      <c r="I32" s="2" t="s">
        <v>357</v>
      </c>
      <c r="J32" s="2" t="s">
        <v>357</v>
      </c>
    </row>
    <row r="33" spans="1:10" x14ac:dyDescent="0.25">
      <c r="A33" s="25">
        <f t="shared" si="1"/>
        <v>27</v>
      </c>
      <c r="B33" s="2">
        <v>7</v>
      </c>
      <c r="C33">
        <v>3</v>
      </c>
      <c r="D33" t="str">
        <f>VLOOKUP(C33,TB_ICO_TIPO_RECURSO_PROTEGIDO!$A$7:$I$1165,2,FALSE)</f>
        <v>Grupo de Componentes</v>
      </c>
      <c r="E33">
        <v>1</v>
      </c>
      <c r="F33" t="str">
        <f t="shared" si="0"/>
        <v>Segurança</v>
      </c>
      <c r="G33" s="25">
        <f t="shared" si="2"/>
        <v>27</v>
      </c>
      <c r="H33" t="s">
        <v>416</v>
      </c>
      <c r="I33" s="2" t="s">
        <v>376</v>
      </c>
      <c r="J33" s="2" t="s">
        <v>376</v>
      </c>
    </row>
    <row r="34" spans="1:10" x14ac:dyDescent="0.25">
      <c r="A34" s="25">
        <f t="shared" si="1"/>
        <v>28</v>
      </c>
      <c r="B34" s="2">
        <v>7</v>
      </c>
      <c r="C34">
        <v>3</v>
      </c>
      <c r="D34" t="str">
        <f>VLOOKUP(C34,TB_ICO_TIPO_RECURSO_PROTEGIDO!$A$7:$I$1165,2,FALSE)</f>
        <v>Grupo de Componentes</v>
      </c>
      <c r="E34">
        <v>27</v>
      </c>
      <c r="F34" t="str">
        <f t="shared" si="0"/>
        <v>Manter equipe de projeto</v>
      </c>
      <c r="G34" s="25">
        <f t="shared" si="2"/>
        <v>28</v>
      </c>
      <c r="H34" t="s">
        <v>417</v>
      </c>
      <c r="I34" s="2" t="s">
        <v>377</v>
      </c>
      <c r="J34" s="2" t="s">
        <v>377</v>
      </c>
    </row>
    <row r="35" spans="1:10" x14ac:dyDescent="0.25">
      <c r="A35" s="25">
        <f t="shared" si="1"/>
        <v>29</v>
      </c>
      <c r="B35" s="2">
        <v>7</v>
      </c>
      <c r="C35">
        <v>3</v>
      </c>
      <c r="D35" t="str">
        <f>VLOOKUP(C35,TB_ICO_TIPO_RECURSO_PROTEGIDO!$A$7:$I$1165,2,FALSE)</f>
        <v>Grupo de Componentes</v>
      </c>
      <c r="E35">
        <v>27</v>
      </c>
      <c r="F35" t="str">
        <f t="shared" si="0"/>
        <v>Manter equipe de projeto</v>
      </c>
      <c r="G35" s="25">
        <f t="shared" si="2"/>
        <v>29</v>
      </c>
      <c r="H35" t="s">
        <v>418</v>
      </c>
      <c r="I35" s="2" t="s">
        <v>378</v>
      </c>
      <c r="J35" s="2" t="s">
        <v>378</v>
      </c>
    </row>
    <row r="36" spans="1:10" x14ac:dyDescent="0.25">
      <c r="A36" s="25">
        <f t="shared" si="1"/>
        <v>30</v>
      </c>
      <c r="B36" s="2">
        <v>7</v>
      </c>
      <c r="C36">
        <v>3</v>
      </c>
      <c r="D36" t="str">
        <f>VLOOKUP(C36,TB_ICO_TIPO_RECURSO_PROTEGIDO!$A$7:$I$1165,2,FALSE)</f>
        <v>Grupo de Componentes</v>
      </c>
      <c r="E36">
        <v>27</v>
      </c>
      <c r="F36" t="str">
        <f t="shared" si="0"/>
        <v>Manter equipe de projeto</v>
      </c>
      <c r="G36" s="25">
        <f t="shared" si="2"/>
        <v>30</v>
      </c>
      <c r="H36" t="s">
        <v>419</v>
      </c>
      <c r="I36" s="2" t="s">
        <v>379</v>
      </c>
      <c r="J36" s="2" t="s">
        <v>379</v>
      </c>
    </row>
    <row r="37" spans="1:10" x14ac:dyDescent="0.25">
      <c r="A37" s="25">
        <f t="shared" si="1"/>
        <v>31</v>
      </c>
      <c r="B37" s="2">
        <v>7</v>
      </c>
      <c r="C37">
        <v>3</v>
      </c>
      <c r="D37" t="str">
        <f>VLOOKUP(C37,TB_ICO_TIPO_RECURSO_PROTEGIDO!$A$7:$I$1165,2,FALSE)</f>
        <v>Grupo de Componentes</v>
      </c>
      <c r="E37">
        <v>30</v>
      </c>
      <c r="F37" t="str">
        <f t="shared" si="0"/>
        <v>Alterar responsáveis do projeto</v>
      </c>
      <c r="G37" s="25">
        <f t="shared" si="2"/>
        <v>31</v>
      </c>
      <c r="H37" t="s">
        <v>420</v>
      </c>
      <c r="I37" s="2" t="s">
        <v>380</v>
      </c>
      <c r="J37" s="2" t="s">
        <v>380</v>
      </c>
    </row>
    <row r="38" spans="1:10" x14ac:dyDescent="0.25">
      <c r="A38" s="25">
        <f t="shared" si="1"/>
        <v>32</v>
      </c>
      <c r="B38" s="2">
        <v>7</v>
      </c>
      <c r="C38">
        <v>3</v>
      </c>
      <c r="D38" t="str">
        <f>VLOOKUP(C38,TB_ICO_TIPO_RECURSO_PROTEGIDO!$A$7:$I$1165,2,FALSE)</f>
        <v>Grupo de Componentes</v>
      </c>
      <c r="E38">
        <v>30</v>
      </c>
      <c r="F38" t="str">
        <f t="shared" si="0"/>
        <v>Alterar responsáveis do projeto</v>
      </c>
      <c r="G38" s="25">
        <f t="shared" si="2"/>
        <v>32</v>
      </c>
      <c r="H38" t="s">
        <v>421</v>
      </c>
      <c r="I38" s="2" t="s">
        <v>381</v>
      </c>
      <c r="J38" s="2" t="s">
        <v>381</v>
      </c>
    </row>
    <row r="39" spans="1:10" x14ac:dyDescent="0.25">
      <c r="A39" s="25">
        <f t="shared" si="1"/>
        <v>33</v>
      </c>
      <c r="B39" s="2">
        <v>7</v>
      </c>
      <c r="C39">
        <v>3</v>
      </c>
      <c r="D39" t="str">
        <f>VLOOKUP(C39,TB_ICO_TIPO_RECURSO_PROTEGIDO!$A$7:$I$1165,2,FALSE)</f>
        <v>Grupo de Componentes</v>
      </c>
      <c r="E39">
        <v>30</v>
      </c>
      <c r="F39" t="str">
        <f t="shared" ref="F39:F66" si="3">IF(ISERROR(VLOOKUP(E39,$A$7:$I$1172,9,FALSE)),"-",VLOOKUP(E39,$A$7:$I$1172,9,FALSE))</f>
        <v>Alterar responsáveis do projeto</v>
      </c>
      <c r="G39" s="25">
        <f t="shared" si="2"/>
        <v>33</v>
      </c>
      <c r="H39" t="s">
        <v>422</v>
      </c>
      <c r="I39" s="2" t="s">
        <v>382</v>
      </c>
      <c r="J39" s="2" t="s">
        <v>382</v>
      </c>
    </row>
    <row r="40" spans="1:10" x14ac:dyDescent="0.25">
      <c r="A40" s="25">
        <f t="shared" si="1"/>
        <v>34</v>
      </c>
      <c r="B40" s="2">
        <v>7</v>
      </c>
      <c r="C40">
        <v>3</v>
      </c>
      <c r="D40" t="str">
        <f>VLOOKUP(C40,TB_ICO_TIPO_RECURSO_PROTEGIDO!$A$7:$I$1165,2,FALSE)</f>
        <v>Grupo de Componentes</v>
      </c>
      <c r="E40">
        <v>30</v>
      </c>
      <c r="F40" t="str">
        <f t="shared" si="3"/>
        <v>Alterar responsáveis do projeto</v>
      </c>
      <c r="G40" s="25">
        <f t="shared" si="2"/>
        <v>34</v>
      </c>
      <c r="H40" t="s">
        <v>423</v>
      </c>
      <c r="I40" s="2" t="s">
        <v>383</v>
      </c>
      <c r="J40" s="2" t="s">
        <v>383</v>
      </c>
    </row>
    <row r="41" spans="1:10" x14ac:dyDescent="0.25">
      <c r="A41" s="25">
        <f t="shared" si="1"/>
        <v>35</v>
      </c>
      <c r="B41" s="2">
        <v>7</v>
      </c>
      <c r="C41">
        <v>3</v>
      </c>
      <c r="D41" t="str">
        <f>VLOOKUP(C41,TB_ICO_TIPO_RECURSO_PROTEGIDO!$A$7:$I$1165,2,FALSE)</f>
        <v>Grupo de Componentes</v>
      </c>
      <c r="E41">
        <v>30</v>
      </c>
      <c r="F41" t="str">
        <f t="shared" si="3"/>
        <v>Alterar responsáveis do projeto</v>
      </c>
      <c r="G41" s="25">
        <f t="shared" si="2"/>
        <v>35</v>
      </c>
      <c r="H41" t="s">
        <v>424</v>
      </c>
      <c r="I41" s="2" t="s">
        <v>384</v>
      </c>
      <c r="J41" s="2" t="s">
        <v>384</v>
      </c>
    </row>
    <row r="42" spans="1:10" x14ac:dyDescent="0.25">
      <c r="A42" s="25">
        <f t="shared" si="1"/>
        <v>36</v>
      </c>
      <c r="B42" s="2">
        <v>7</v>
      </c>
      <c r="C42">
        <v>3</v>
      </c>
      <c r="D42" t="str">
        <f>VLOOKUP(C42,TB_ICO_TIPO_RECURSO_PROTEGIDO!$A$7:$I$1165,2,FALSE)</f>
        <v>Grupo de Componentes</v>
      </c>
      <c r="E42">
        <v>27</v>
      </c>
      <c r="F42" t="str">
        <f t="shared" si="3"/>
        <v>Manter equipe de projeto</v>
      </c>
      <c r="G42" s="25">
        <f t="shared" si="2"/>
        <v>36</v>
      </c>
      <c r="H42" t="s">
        <v>425</v>
      </c>
      <c r="I42" s="2" t="s">
        <v>385</v>
      </c>
      <c r="J42" s="2" t="s">
        <v>385</v>
      </c>
    </row>
    <row r="43" spans="1:10" x14ac:dyDescent="0.25">
      <c r="A43" s="25">
        <f t="shared" si="1"/>
        <v>37</v>
      </c>
      <c r="B43" s="2">
        <v>7</v>
      </c>
      <c r="C43">
        <v>3</v>
      </c>
      <c r="D43" t="str">
        <f>VLOOKUP(C43,TB_ICO_TIPO_RECURSO_PROTEGIDO!$A$7:$I$1165,2,FALSE)</f>
        <v>Grupo de Componentes</v>
      </c>
      <c r="E43">
        <v>36</v>
      </c>
      <c r="F43" t="str">
        <f t="shared" si="3"/>
        <v>Alterar componentes do projeto</v>
      </c>
      <c r="G43" s="25">
        <f t="shared" si="2"/>
        <v>37</v>
      </c>
      <c r="H43" t="s">
        <v>426</v>
      </c>
      <c r="I43" s="2" t="s">
        <v>386</v>
      </c>
      <c r="J43" s="2" t="s">
        <v>386</v>
      </c>
    </row>
    <row r="44" spans="1:10" x14ac:dyDescent="0.25">
      <c r="A44" s="25">
        <f t="shared" si="1"/>
        <v>38</v>
      </c>
      <c r="B44" s="2">
        <v>7</v>
      </c>
      <c r="C44">
        <v>3</v>
      </c>
      <c r="D44" t="str">
        <f>VLOOKUP(C44,TB_ICO_TIPO_RECURSO_PROTEGIDO!$A$7:$I$1165,2,FALSE)</f>
        <v>Grupo de Componentes</v>
      </c>
      <c r="E44">
        <v>36</v>
      </c>
      <c r="F44" t="str">
        <f t="shared" si="3"/>
        <v>Alterar componentes do projeto</v>
      </c>
      <c r="G44" s="25">
        <f t="shared" si="2"/>
        <v>38</v>
      </c>
      <c r="H44" t="s">
        <v>427</v>
      </c>
      <c r="I44" s="2" t="s">
        <v>387</v>
      </c>
      <c r="J44" s="2" t="s">
        <v>387</v>
      </c>
    </row>
    <row r="45" spans="1:10" x14ac:dyDescent="0.25">
      <c r="A45" s="25">
        <f t="shared" si="1"/>
        <v>39</v>
      </c>
      <c r="B45" s="2">
        <v>7</v>
      </c>
      <c r="C45">
        <v>3</v>
      </c>
      <c r="D45" t="str">
        <f>VLOOKUP(C45,TB_ICO_TIPO_RECURSO_PROTEGIDO!$A$7:$I$1165,2,FALSE)</f>
        <v>Grupo de Componentes</v>
      </c>
      <c r="E45">
        <v>36</v>
      </c>
      <c r="F45" t="str">
        <f t="shared" si="3"/>
        <v>Alterar componentes do projeto</v>
      </c>
      <c r="G45" s="25">
        <f t="shared" si="2"/>
        <v>39</v>
      </c>
      <c r="H45" t="s">
        <v>428</v>
      </c>
      <c r="I45" s="2" t="s">
        <v>388</v>
      </c>
      <c r="J45" s="2" t="s">
        <v>388</v>
      </c>
    </row>
    <row r="46" spans="1:10" x14ac:dyDescent="0.25">
      <c r="A46" s="25">
        <f t="shared" si="1"/>
        <v>40</v>
      </c>
      <c r="B46" s="2">
        <v>7</v>
      </c>
      <c r="C46">
        <v>5</v>
      </c>
      <c r="D46" t="str">
        <f>VLOOKUP(C46,TB_ICO_TIPO_RECURSO_PROTEGIDO!$A$7:$I$1165,2,FALSE)</f>
        <v>Item de menu</v>
      </c>
      <c r="E46">
        <v>36</v>
      </c>
      <c r="F46" t="str">
        <f t="shared" si="3"/>
        <v>Alterar componentes do projeto</v>
      </c>
      <c r="G46" s="25">
        <f t="shared" si="2"/>
        <v>40</v>
      </c>
      <c r="H46" t="s">
        <v>429</v>
      </c>
      <c r="I46" s="2" t="s">
        <v>357</v>
      </c>
      <c r="J46" s="2" t="s">
        <v>357</v>
      </c>
    </row>
    <row r="47" spans="1:10" x14ac:dyDescent="0.25">
      <c r="A47" s="25">
        <f t="shared" si="1"/>
        <v>41</v>
      </c>
      <c r="B47" s="2">
        <v>7</v>
      </c>
      <c r="C47">
        <v>5</v>
      </c>
      <c r="D47" t="str">
        <f>VLOOKUP(C47,TB_ICO_TIPO_RECURSO_PROTEGIDO!$A$7:$I$1165,2,FALSE)</f>
        <v>Item de menu</v>
      </c>
      <c r="E47"/>
      <c r="F47" t="str">
        <f t="shared" si="3"/>
        <v>-</v>
      </c>
      <c r="G47" s="25">
        <f t="shared" si="2"/>
        <v>41</v>
      </c>
      <c r="H47" t="s">
        <v>430</v>
      </c>
      <c r="I47" s="2" t="s">
        <v>389</v>
      </c>
      <c r="J47" s="2" t="s">
        <v>389</v>
      </c>
    </row>
    <row r="48" spans="1:10" x14ac:dyDescent="0.25">
      <c r="A48" s="25">
        <f t="shared" si="1"/>
        <v>42</v>
      </c>
      <c r="B48" s="10">
        <v>7</v>
      </c>
      <c r="C48">
        <v>5</v>
      </c>
      <c r="D48" t="str">
        <f>VLOOKUP(C48,TB_ICO_TIPO_RECURSO_PROTEGIDO!$A$7:$I$1165,2,FALSE)</f>
        <v>Item de menu</v>
      </c>
      <c r="E48"/>
      <c r="F48" t="str">
        <f t="shared" si="3"/>
        <v>-</v>
      </c>
      <c r="G48" s="25">
        <f t="shared" si="2"/>
        <v>42</v>
      </c>
      <c r="H48" t="s">
        <v>1389</v>
      </c>
      <c r="I48" s="2" t="s">
        <v>1390</v>
      </c>
      <c r="J48" s="2" t="s">
        <v>1390</v>
      </c>
    </row>
    <row r="49" spans="1:10" x14ac:dyDescent="0.25">
      <c r="A49" s="25">
        <f t="shared" si="1"/>
        <v>43</v>
      </c>
      <c r="B49" s="10">
        <v>7</v>
      </c>
      <c r="C49">
        <v>3</v>
      </c>
      <c r="D49" t="str">
        <f>VLOOKUP(C49,TB_ICO_TIPO_RECURSO_PROTEGIDO!$A$7:$I$1165,2,FALSE)</f>
        <v>Grupo de Componentes</v>
      </c>
      <c r="E49"/>
      <c r="F49" t="str">
        <f t="shared" si="3"/>
        <v>-</v>
      </c>
      <c r="G49" s="25">
        <f t="shared" si="2"/>
        <v>43</v>
      </c>
      <c r="H49" t="s">
        <v>489</v>
      </c>
      <c r="I49" s="2" t="s">
        <v>452</v>
      </c>
      <c r="J49" s="2" t="s">
        <v>486</v>
      </c>
    </row>
    <row r="50" spans="1:10" x14ac:dyDescent="0.25">
      <c r="A50" s="25">
        <f t="shared" si="1"/>
        <v>44</v>
      </c>
      <c r="B50" s="10">
        <v>7</v>
      </c>
      <c r="C50">
        <v>3</v>
      </c>
      <c r="D50" t="str">
        <f>VLOOKUP(C50,TB_ICO_TIPO_RECURSO_PROTEGIDO!$A$7:$I$1165,2,FALSE)</f>
        <v>Grupo de Componentes</v>
      </c>
      <c r="E50">
        <v>43</v>
      </c>
      <c r="F50" t="str">
        <f t="shared" si="3"/>
        <v>Recurso Protegido por Mudança</v>
      </c>
      <c r="G50" s="25">
        <f t="shared" si="2"/>
        <v>44</v>
      </c>
      <c r="H50" t="s">
        <v>490</v>
      </c>
      <c r="I50" s="2" t="s">
        <v>487</v>
      </c>
      <c r="J50" s="2" t="s">
        <v>488</v>
      </c>
    </row>
    <row r="51" spans="1:10" x14ac:dyDescent="0.25">
      <c r="A51" s="25">
        <f t="shared" si="1"/>
        <v>45</v>
      </c>
      <c r="B51" s="10">
        <v>7</v>
      </c>
      <c r="C51">
        <v>3</v>
      </c>
      <c r="D51" t="str">
        <f>VLOOKUP(C51,TB_ICO_TIPO_RECURSO_PROTEGIDO!$A$7:$I$1165,2,FALSE)</f>
        <v>Grupo de Componentes</v>
      </c>
      <c r="E51">
        <v>43</v>
      </c>
      <c r="F51" t="str">
        <f t="shared" si="3"/>
        <v>Recurso Protegido por Mudança</v>
      </c>
      <c r="G51" s="25">
        <f t="shared" si="2"/>
        <v>45</v>
      </c>
      <c r="H51" t="s">
        <v>491</v>
      </c>
      <c r="I51" s="2" t="s">
        <v>492</v>
      </c>
      <c r="J51" s="2" t="s">
        <v>493</v>
      </c>
    </row>
    <row r="52" spans="1:10" x14ac:dyDescent="0.25">
      <c r="A52" s="25">
        <f t="shared" si="1"/>
        <v>46</v>
      </c>
      <c r="B52" s="10">
        <v>7</v>
      </c>
      <c r="C52">
        <v>3</v>
      </c>
      <c r="D52" t="str">
        <f>VLOOKUP(C52,TB_ICO_TIPO_RECURSO_PROTEGIDO!$A$7:$I$1165,2,FALSE)</f>
        <v>Grupo de Componentes</v>
      </c>
      <c r="E52">
        <v>43</v>
      </c>
      <c r="F52" t="str">
        <f t="shared" si="3"/>
        <v>Recurso Protegido por Mudança</v>
      </c>
      <c r="G52" s="25">
        <f t="shared" si="2"/>
        <v>46</v>
      </c>
      <c r="H52" t="s">
        <v>494</v>
      </c>
      <c r="I52" s="2" t="s">
        <v>495</v>
      </c>
      <c r="J52" s="2" t="s">
        <v>496</v>
      </c>
    </row>
    <row r="53" spans="1:10" x14ac:dyDescent="0.25">
      <c r="A53" s="25">
        <f t="shared" si="1"/>
        <v>47</v>
      </c>
      <c r="B53" s="2">
        <v>7</v>
      </c>
      <c r="C53">
        <v>3</v>
      </c>
      <c r="D53" t="str">
        <f>VLOOKUP(C53,TB_ICO_TIPO_RECURSO_PROTEGIDO!$A$7:$I$1165,2,FALSE)</f>
        <v>Grupo de Componentes</v>
      </c>
      <c r="E53" s="2">
        <v>42</v>
      </c>
      <c r="F53" s="2" t="str">
        <f t="shared" si="3"/>
        <v>Gestão Financeira do Convêncio</v>
      </c>
      <c r="G53" s="25">
        <f t="shared" si="2"/>
        <v>47</v>
      </c>
      <c r="H53" s="2" t="s">
        <v>633</v>
      </c>
      <c r="I53" s="2" t="s">
        <v>632</v>
      </c>
      <c r="J53" s="2" t="s">
        <v>632</v>
      </c>
    </row>
    <row r="54" spans="1:10" x14ac:dyDescent="0.25">
      <c r="A54" s="25">
        <f t="shared" si="1"/>
        <v>48</v>
      </c>
      <c r="B54" s="2">
        <v>7</v>
      </c>
      <c r="C54">
        <v>3</v>
      </c>
      <c r="D54" t="str">
        <f>VLOOKUP(C54,TB_ICO_TIPO_RECURSO_PROTEGIDO!$A$7:$I$1165,2,FALSE)</f>
        <v>Grupo de Componentes</v>
      </c>
      <c r="E54" s="2">
        <v>47</v>
      </c>
      <c r="F54" s="2" t="str">
        <f t="shared" si="3"/>
        <v>Gestão financeira</v>
      </c>
      <c r="G54" s="25">
        <f t="shared" si="2"/>
        <v>48</v>
      </c>
      <c r="H54" s="2" t="s">
        <v>647</v>
      </c>
      <c r="I54" s="2" t="s">
        <v>649</v>
      </c>
      <c r="J54" s="2" t="s">
        <v>649</v>
      </c>
    </row>
    <row r="55" spans="1:10" x14ac:dyDescent="0.25">
      <c r="A55" s="25">
        <f t="shared" si="1"/>
        <v>49</v>
      </c>
      <c r="B55" s="2">
        <v>7</v>
      </c>
      <c r="C55">
        <v>3</v>
      </c>
      <c r="D55" t="str">
        <f>VLOOKUP(C55,TB_ICO_TIPO_RECURSO_PROTEGIDO!$A$7:$I$1165,2,FALSE)</f>
        <v>Grupo de Componentes</v>
      </c>
      <c r="E55" s="2">
        <v>47</v>
      </c>
      <c r="F55" s="2" t="str">
        <f t="shared" si="3"/>
        <v>Gestão financeira</v>
      </c>
      <c r="G55" s="25">
        <f t="shared" si="2"/>
        <v>49</v>
      </c>
      <c r="H55" s="2" t="s">
        <v>648</v>
      </c>
      <c r="I55" s="2" t="s">
        <v>609</v>
      </c>
      <c r="J55" s="2" t="s">
        <v>609</v>
      </c>
    </row>
    <row r="56" spans="1:10" x14ac:dyDescent="0.25">
      <c r="A56" s="25">
        <f t="shared" si="1"/>
        <v>50</v>
      </c>
      <c r="B56" s="2">
        <v>7</v>
      </c>
      <c r="C56">
        <v>3</v>
      </c>
      <c r="D56" t="str">
        <f>VLOOKUP(C56,TB_ICO_TIPO_RECURSO_PROTEGIDO!$A$7:$I$1165,2,FALSE)</f>
        <v>Grupo de Componentes</v>
      </c>
      <c r="E56" s="2">
        <v>49</v>
      </c>
      <c r="F56" s="2" t="str">
        <f t="shared" si="3"/>
        <v>Desembolsos</v>
      </c>
      <c r="G56" s="25">
        <f t="shared" si="2"/>
        <v>50</v>
      </c>
      <c r="H56" s="2" t="s">
        <v>634</v>
      </c>
      <c r="I56" s="2" t="s">
        <v>577</v>
      </c>
      <c r="J56" s="2" t="s">
        <v>577</v>
      </c>
    </row>
    <row r="57" spans="1:10" x14ac:dyDescent="0.25">
      <c r="A57" s="25">
        <f t="shared" si="1"/>
        <v>51</v>
      </c>
      <c r="B57" s="2">
        <v>7</v>
      </c>
      <c r="C57">
        <v>3</v>
      </c>
      <c r="D57" t="str">
        <f>VLOOKUP(C57,TB_ICO_TIPO_RECURSO_PROTEGIDO!$A$7:$I$1165,2,FALSE)</f>
        <v>Grupo de Componentes</v>
      </c>
      <c r="E57" s="2">
        <v>49</v>
      </c>
      <c r="F57" s="2" t="str">
        <f t="shared" si="3"/>
        <v>Desembolsos</v>
      </c>
      <c r="G57" s="25">
        <f t="shared" si="2"/>
        <v>51</v>
      </c>
      <c r="H57" s="2" t="s">
        <v>637</v>
      </c>
      <c r="I57" s="2" t="s">
        <v>635</v>
      </c>
      <c r="J57" s="2" t="s">
        <v>635</v>
      </c>
    </row>
    <row r="58" spans="1:10" x14ac:dyDescent="0.25">
      <c r="A58" s="25">
        <f t="shared" si="1"/>
        <v>52</v>
      </c>
      <c r="B58" s="2">
        <v>7</v>
      </c>
      <c r="C58">
        <v>3</v>
      </c>
      <c r="D58" t="str">
        <f>VLOOKUP(C58,TB_ICO_TIPO_RECURSO_PROTEGIDO!$A$7:$I$1165,2,FALSE)</f>
        <v>Grupo de Componentes</v>
      </c>
      <c r="E58" s="2">
        <v>49</v>
      </c>
      <c r="F58" s="2" t="str">
        <f t="shared" si="3"/>
        <v>Desembolsos</v>
      </c>
      <c r="G58" s="25">
        <f t="shared" si="2"/>
        <v>52</v>
      </c>
      <c r="H58" s="2" t="s">
        <v>636</v>
      </c>
      <c r="I58" s="2" t="s">
        <v>626</v>
      </c>
      <c r="J58" s="2" t="s">
        <v>626</v>
      </c>
    </row>
    <row r="59" spans="1:10" x14ac:dyDescent="0.25">
      <c r="A59" s="25">
        <f t="shared" si="1"/>
        <v>53</v>
      </c>
      <c r="B59" s="2">
        <v>7</v>
      </c>
      <c r="C59">
        <v>3</v>
      </c>
      <c r="D59" t="str">
        <f>VLOOKUP(C59,TB_ICO_TIPO_RECURSO_PROTEGIDO!$A$7:$I$1165,2,FALSE)</f>
        <v>Grupo de Componentes</v>
      </c>
      <c r="E59" s="2">
        <v>49</v>
      </c>
      <c r="F59" s="2" t="str">
        <f t="shared" si="3"/>
        <v>Desembolsos</v>
      </c>
      <c r="G59" s="25">
        <f t="shared" si="2"/>
        <v>53</v>
      </c>
      <c r="H59" s="2" t="s">
        <v>1256</v>
      </c>
      <c r="I59" s="2" t="s">
        <v>1257</v>
      </c>
      <c r="J59" s="2" t="s">
        <v>1257</v>
      </c>
    </row>
    <row r="60" spans="1:10" x14ac:dyDescent="0.25">
      <c r="A60" s="25">
        <f t="shared" si="1"/>
        <v>54</v>
      </c>
      <c r="B60" s="2">
        <v>7</v>
      </c>
      <c r="C60">
        <v>3</v>
      </c>
      <c r="D60" t="str">
        <f>VLOOKUP(C60,TB_ICO_TIPO_RECURSO_PROTEGIDO!$A$7:$I$1165,2,FALSE)</f>
        <v>Grupo de Componentes</v>
      </c>
      <c r="E60" s="2">
        <v>48</v>
      </c>
      <c r="F60" s="2" t="str">
        <f t="shared" si="3"/>
        <v>Parcelas</v>
      </c>
      <c r="G60" s="25">
        <f t="shared" si="2"/>
        <v>54</v>
      </c>
      <c r="H60" s="2" t="s">
        <v>639</v>
      </c>
      <c r="I60" s="2" t="s">
        <v>638</v>
      </c>
      <c r="J60" s="2" t="s">
        <v>638</v>
      </c>
    </row>
    <row r="61" spans="1:10" x14ac:dyDescent="0.25">
      <c r="A61" s="25">
        <f t="shared" si="1"/>
        <v>55</v>
      </c>
      <c r="B61" s="2">
        <v>7</v>
      </c>
      <c r="C61">
        <v>3</v>
      </c>
      <c r="D61" t="str">
        <f>VLOOKUP(C61,TB_ICO_TIPO_RECURSO_PROTEGIDO!$A$7:$I$1165,2,FALSE)</f>
        <v>Grupo de Componentes</v>
      </c>
      <c r="E61" s="2">
        <v>48</v>
      </c>
      <c r="F61" s="2" t="str">
        <f t="shared" si="3"/>
        <v>Parcelas</v>
      </c>
      <c r="G61" s="25">
        <f t="shared" si="2"/>
        <v>55</v>
      </c>
      <c r="H61" s="2" t="s">
        <v>640</v>
      </c>
      <c r="I61" s="2" t="s">
        <v>576</v>
      </c>
      <c r="J61" s="2" t="s">
        <v>576</v>
      </c>
    </row>
    <row r="62" spans="1:10" x14ac:dyDescent="0.25">
      <c r="A62" s="25">
        <f t="shared" si="1"/>
        <v>56</v>
      </c>
      <c r="B62" s="2">
        <v>7</v>
      </c>
      <c r="C62">
        <v>3</v>
      </c>
      <c r="D62" t="str">
        <f>VLOOKUP(C62,TB_ICO_TIPO_RECURSO_PROTEGIDO!$A$7:$I$1165,2,FALSE)</f>
        <v>Grupo de Componentes</v>
      </c>
      <c r="E62" s="2">
        <v>48</v>
      </c>
      <c r="F62" s="2" t="str">
        <f t="shared" si="3"/>
        <v>Parcelas</v>
      </c>
      <c r="G62" s="25">
        <f t="shared" si="2"/>
        <v>56</v>
      </c>
      <c r="H62" s="2" t="s">
        <v>641</v>
      </c>
      <c r="I62" s="2" t="s">
        <v>575</v>
      </c>
      <c r="J62" s="2" t="s">
        <v>575</v>
      </c>
    </row>
    <row r="63" spans="1:10" x14ac:dyDescent="0.25">
      <c r="A63" s="25">
        <f t="shared" si="1"/>
        <v>57</v>
      </c>
      <c r="B63" s="2">
        <v>7</v>
      </c>
      <c r="C63">
        <v>3</v>
      </c>
      <c r="D63" t="str">
        <f>VLOOKUP(C63,TB_ICO_TIPO_RECURSO_PROTEGIDO!$A$7:$I$1165,2,FALSE)</f>
        <v>Grupo de Componentes</v>
      </c>
      <c r="E63" s="2">
        <v>47</v>
      </c>
      <c r="F63" s="2" t="str">
        <f t="shared" si="3"/>
        <v>Gestão financeira</v>
      </c>
      <c r="G63" s="25">
        <f t="shared" si="2"/>
        <v>57</v>
      </c>
      <c r="H63" s="2" t="s">
        <v>642</v>
      </c>
      <c r="I63" s="2" t="s">
        <v>357</v>
      </c>
      <c r="J63" s="2" t="s">
        <v>357</v>
      </c>
    </row>
    <row r="64" spans="1:10" x14ac:dyDescent="0.25">
      <c r="A64" s="25">
        <f t="shared" si="1"/>
        <v>58</v>
      </c>
      <c r="B64" s="2">
        <v>7</v>
      </c>
      <c r="C64">
        <v>3</v>
      </c>
      <c r="D64" t="str">
        <f>VLOOKUP(C64,TB_ICO_TIPO_RECURSO_PROTEGIDO!$A$7:$I$1165,2,FALSE)</f>
        <v>Grupo de Componentes</v>
      </c>
      <c r="E64" s="2">
        <v>47</v>
      </c>
      <c r="F64" s="2" t="str">
        <f t="shared" si="3"/>
        <v>Gestão financeira</v>
      </c>
      <c r="G64" s="25">
        <f t="shared" si="2"/>
        <v>58</v>
      </c>
      <c r="H64" s="2" t="s">
        <v>643</v>
      </c>
      <c r="I64" s="2" t="s">
        <v>644</v>
      </c>
      <c r="J64" s="2" t="s">
        <v>644</v>
      </c>
    </row>
    <row r="65" spans="1:10" x14ac:dyDescent="0.25">
      <c r="A65" s="25">
        <f t="shared" si="1"/>
        <v>59</v>
      </c>
      <c r="B65" s="2">
        <v>7</v>
      </c>
      <c r="C65">
        <v>3</v>
      </c>
      <c r="D65" t="str">
        <f>VLOOKUP(C65,TB_ICO_TIPO_RECURSO_PROTEGIDO!$A$7:$I$1165,2,FALSE)</f>
        <v>Grupo de Componentes</v>
      </c>
      <c r="E65" s="2">
        <v>47</v>
      </c>
      <c r="F65" s="2" t="str">
        <f t="shared" si="3"/>
        <v>Gestão financeira</v>
      </c>
      <c r="G65" s="25">
        <f t="shared" si="2"/>
        <v>59</v>
      </c>
      <c r="H65" s="2" t="s">
        <v>655</v>
      </c>
      <c r="I65" s="2" t="s">
        <v>646</v>
      </c>
      <c r="J65" s="2" t="s">
        <v>645</v>
      </c>
    </row>
    <row r="66" spans="1:10" x14ac:dyDescent="0.25">
      <c r="A66" s="25">
        <f t="shared" si="1"/>
        <v>60</v>
      </c>
      <c r="B66" s="2">
        <v>7</v>
      </c>
      <c r="C66">
        <v>3</v>
      </c>
      <c r="D66" t="str">
        <f>VLOOKUP(C66,TB_ICO_TIPO_RECURSO_PROTEGIDO!$A$7:$I$1165,2,FALSE)</f>
        <v>Grupo de Componentes</v>
      </c>
      <c r="E66" s="2">
        <v>54</v>
      </c>
      <c r="F66" s="2" t="str">
        <f t="shared" si="3"/>
        <v>Incluir parcela</v>
      </c>
      <c r="G66" s="25">
        <f t="shared" si="2"/>
        <v>60</v>
      </c>
      <c r="H66" s="2" t="s">
        <v>654</v>
      </c>
      <c r="I66" s="2" t="s">
        <v>650</v>
      </c>
      <c r="J66" s="2" t="s">
        <v>651</v>
      </c>
    </row>
    <row r="67" spans="1:10" x14ac:dyDescent="0.25">
      <c r="A67" s="25">
        <f t="shared" si="1"/>
        <v>61</v>
      </c>
      <c r="B67" s="25">
        <v>7</v>
      </c>
      <c r="C67" s="25">
        <v>5</v>
      </c>
      <c r="D67" t="str">
        <f>VLOOKUP(C67,TB_ICO_TIPO_RECURSO_PROTEGIDO!$A$7:$I$1165,2,FALSE)</f>
        <v>Item de menu</v>
      </c>
      <c r="E67" s="25"/>
      <c r="F67" s="25" t="s">
        <v>877</v>
      </c>
      <c r="G67" s="25">
        <f t="shared" si="2"/>
        <v>61</v>
      </c>
      <c r="H67" s="25" t="s">
        <v>854</v>
      </c>
      <c r="I67" s="25" t="s">
        <v>670</v>
      </c>
      <c r="J67" s="2" t="s">
        <v>652</v>
      </c>
    </row>
    <row r="68" spans="1:10" x14ac:dyDescent="0.25">
      <c r="A68" s="25">
        <f t="shared" si="1"/>
        <v>62</v>
      </c>
      <c r="B68" s="25">
        <v>7</v>
      </c>
      <c r="C68">
        <v>3</v>
      </c>
      <c r="D68" t="str">
        <f>VLOOKUP(C68,TB_ICO_TIPO_RECURSO_PROTEGIDO!$A$7:$I$1165,2,FALSE)</f>
        <v>Grupo de Componentes</v>
      </c>
      <c r="E68" s="25">
        <v>54</v>
      </c>
      <c r="F68" s="25" t="str">
        <f t="shared" ref="F68:F75" si="4">IF(ISERROR(VLOOKUP(E68,$A$7:$I$1172,9,FALSE)),"-",VLOOKUP(E68,$A$7:$I$1172,9,FALSE))</f>
        <v>Incluir parcela</v>
      </c>
      <c r="G68" s="25">
        <f t="shared" si="2"/>
        <v>62</v>
      </c>
      <c r="H68" s="25" t="s">
        <v>653</v>
      </c>
      <c r="I68" s="25" t="s">
        <v>652</v>
      </c>
      <c r="J68" s="2" t="s">
        <v>855</v>
      </c>
    </row>
    <row r="69" spans="1:10" x14ac:dyDescent="0.25">
      <c r="A69" s="25">
        <f t="shared" si="1"/>
        <v>63</v>
      </c>
      <c r="B69" s="2">
        <v>7</v>
      </c>
      <c r="C69" s="2">
        <v>3</v>
      </c>
      <c r="D69" t="str">
        <f>VLOOKUP(C69,TB_ICO_TIPO_RECURSO_PROTEGIDO!$A$7:$I$1165,2,FALSE)</f>
        <v>Grupo de Componentes</v>
      </c>
      <c r="E69" s="2">
        <v>61</v>
      </c>
      <c r="F69" s="2" t="str">
        <f t="shared" si="4"/>
        <v>Memória de Cálculo</v>
      </c>
      <c r="G69" s="25">
        <f t="shared" si="2"/>
        <v>63</v>
      </c>
      <c r="H69" s="2" t="s">
        <v>856</v>
      </c>
      <c r="I69" s="2" t="s">
        <v>857</v>
      </c>
      <c r="J69" s="2" t="s">
        <v>861</v>
      </c>
    </row>
    <row r="70" spans="1:10" x14ac:dyDescent="0.25">
      <c r="A70" s="25">
        <f t="shared" si="1"/>
        <v>64</v>
      </c>
      <c r="B70" s="2">
        <v>7</v>
      </c>
      <c r="C70" s="2">
        <v>3</v>
      </c>
      <c r="D70" t="str">
        <f>VLOOKUP(C70,TB_ICO_TIPO_RECURSO_PROTEGIDO!$A$7:$I$1165,2,FALSE)</f>
        <v>Grupo de Componentes</v>
      </c>
      <c r="E70" s="2">
        <v>61</v>
      </c>
      <c r="F70" s="2" t="str">
        <f t="shared" si="4"/>
        <v>Memória de Cálculo</v>
      </c>
      <c r="G70" s="25">
        <f t="shared" si="2"/>
        <v>64</v>
      </c>
      <c r="H70" s="2" t="s">
        <v>858</v>
      </c>
      <c r="I70" s="2" t="s">
        <v>859</v>
      </c>
      <c r="J70" s="2" t="s">
        <v>860</v>
      </c>
    </row>
    <row r="71" spans="1:10" x14ac:dyDescent="0.25">
      <c r="A71" s="25">
        <f t="shared" si="1"/>
        <v>65</v>
      </c>
      <c r="B71" s="2">
        <v>7</v>
      </c>
      <c r="C71" s="2">
        <v>3</v>
      </c>
      <c r="D71" t="str">
        <f>VLOOKUP(C71,TB_ICO_TIPO_RECURSO_PROTEGIDO!$A$7:$I$1165,2,FALSE)</f>
        <v>Grupo de Componentes</v>
      </c>
      <c r="E71" s="2">
        <v>61</v>
      </c>
      <c r="F71" s="2" t="str">
        <f t="shared" si="4"/>
        <v>Memória de Cálculo</v>
      </c>
      <c r="G71" s="25">
        <f t="shared" si="2"/>
        <v>65</v>
      </c>
      <c r="H71" s="2" t="s">
        <v>862</v>
      </c>
      <c r="I71" s="2" t="s">
        <v>863</v>
      </c>
      <c r="J71" s="2" t="s">
        <v>864</v>
      </c>
    </row>
    <row r="72" spans="1:10" x14ac:dyDescent="0.25">
      <c r="A72" s="25">
        <f t="shared" si="1"/>
        <v>66</v>
      </c>
      <c r="B72" s="2">
        <v>7</v>
      </c>
      <c r="C72" s="2">
        <v>3</v>
      </c>
      <c r="D72" t="str">
        <f>VLOOKUP(C72,TB_ICO_TIPO_RECURSO_PROTEGIDO!$A$7:$I$1165,2,FALSE)</f>
        <v>Grupo de Componentes</v>
      </c>
      <c r="E72" s="2">
        <v>61</v>
      </c>
      <c r="F72" s="2" t="str">
        <f t="shared" si="4"/>
        <v>Memória de Cálculo</v>
      </c>
      <c r="G72" s="25">
        <f t="shared" si="2"/>
        <v>66</v>
      </c>
      <c r="H72" s="2" t="s">
        <v>866</v>
      </c>
      <c r="I72" s="2" t="s">
        <v>865</v>
      </c>
      <c r="J72" s="2" t="s">
        <v>867</v>
      </c>
    </row>
    <row r="73" spans="1:10" x14ac:dyDescent="0.25">
      <c r="A73" s="25">
        <f t="shared" ref="A73:A139" si="5">A72+1</f>
        <v>67</v>
      </c>
      <c r="B73" s="2">
        <v>7</v>
      </c>
      <c r="C73" s="2">
        <v>3</v>
      </c>
      <c r="D73" t="str">
        <f>VLOOKUP(C73,TB_ICO_TIPO_RECURSO_PROTEGIDO!$A$7:$I$1165,2,FALSE)</f>
        <v>Grupo de Componentes</v>
      </c>
      <c r="E73" s="2">
        <v>61</v>
      </c>
      <c r="F73" s="2" t="str">
        <f t="shared" si="4"/>
        <v>Memória de Cálculo</v>
      </c>
      <c r="G73" s="25">
        <f t="shared" ref="G73:G132" si="6">G72+1</f>
        <v>67</v>
      </c>
      <c r="H73" s="2" t="s">
        <v>868</v>
      </c>
      <c r="I73" s="2" t="s">
        <v>869</v>
      </c>
      <c r="J73" s="2" t="s">
        <v>870</v>
      </c>
    </row>
    <row r="74" spans="1:10" x14ac:dyDescent="0.25">
      <c r="A74" s="25">
        <f t="shared" si="5"/>
        <v>68</v>
      </c>
      <c r="B74" s="2">
        <v>7</v>
      </c>
      <c r="C74" s="2">
        <v>3</v>
      </c>
      <c r="D74" t="str">
        <f>VLOOKUP(C74,TB_ICO_TIPO_RECURSO_PROTEGIDO!$A$7:$I$1165,2,FALSE)</f>
        <v>Grupo de Componentes</v>
      </c>
      <c r="E74" s="2">
        <v>61</v>
      </c>
      <c r="F74" s="2" t="str">
        <f t="shared" si="4"/>
        <v>Memória de Cálculo</v>
      </c>
      <c r="G74" s="25">
        <f t="shared" si="6"/>
        <v>68</v>
      </c>
      <c r="H74" s="2" t="s">
        <v>871</v>
      </c>
      <c r="I74" s="2" t="s">
        <v>872</v>
      </c>
      <c r="J74" s="2" t="s">
        <v>873</v>
      </c>
    </row>
    <row r="75" spans="1:10" x14ac:dyDescent="0.25">
      <c r="A75" s="25">
        <f t="shared" si="5"/>
        <v>69</v>
      </c>
      <c r="B75" s="2">
        <v>7</v>
      </c>
      <c r="C75" s="2">
        <v>3</v>
      </c>
      <c r="D75" t="str">
        <f>VLOOKUP(C75,TB_ICO_TIPO_RECURSO_PROTEGIDO!$A$7:$I$1165,2,FALSE)</f>
        <v>Grupo de Componentes</v>
      </c>
      <c r="E75" s="2">
        <v>61</v>
      </c>
      <c r="F75" s="2" t="str">
        <f t="shared" si="4"/>
        <v>Memória de Cálculo</v>
      </c>
      <c r="G75" s="25">
        <f t="shared" si="6"/>
        <v>69</v>
      </c>
      <c r="H75" s="2" t="s">
        <v>874</v>
      </c>
      <c r="I75" s="2" t="s">
        <v>876</v>
      </c>
      <c r="J75" s="2" t="s">
        <v>875</v>
      </c>
    </row>
    <row r="76" spans="1:10" x14ac:dyDescent="0.25">
      <c r="A76" s="25">
        <f t="shared" si="5"/>
        <v>70</v>
      </c>
      <c r="B76" s="25">
        <v>7</v>
      </c>
      <c r="C76" s="25">
        <v>5</v>
      </c>
      <c r="D76" t="str">
        <f>VLOOKUP(C76,TB_ICO_TIPO_RECURSO_PROTEGIDO!$A$7:$I$1165,2,FALSE)</f>
        <v>Item de menu</v>
      </c>
      <c r="E76" s="25"/>
      <c r="F76" s="25"/>
      <c r="G76" s="25">
        <f t="shared" si="6"/>
        <v>70</v>
      </c>
      <c r="H76" s="25" t="s">
        <v>1093</v>
      </c>
      <c r="I76" s="25" t="s">
        <v>907</v>
      </c>
      <c r="J76" s="2" t="s">
        <v>880</v>
      </c>
    </row>
    <row r="77" spans="1:10" x14ac:dyDescent="0.25">
      <c r="A77" s="25">
        <f t="shared" si="5"/>
        <v>71</v>
      </c>
      <c r="B77" s="25">
        <v>7</v>
      </c>
      <c r="C77" s="25">
        <v>3</v>
      </c>
      <c r="D77" t="str">
        <f>VLOOKUP(C77,TB_ICO_TIPO_RECURSO_PROTEGIDO!$A$7:$I$1165,2,FALSE)</f>
        <v>Grupo de Componentes</v>
      </c>
      <c r="E77" s="25">
        <v>61</v>
      </c>
      <c r="F77" s="25" t="str">
        <f t="shared" ref="F77:F83" si="7">IF(ISERROR(VLOOKUP(E77,$A$7:$I$1172,9,FALSE)),"-",VLOOKUP(E77,$A$7:$I$1172,9,FALSE))</f>
        <v>Memória de Cálculo</v>
      </c>
      <c r="G77" s="25">
        <f t="shared" si="6"/>
        <v>71</v>
      </c>
      <c r="H77" s="25" t="s">
        <v>878</v>
      </c>
      <c r="I77" s="25" t="s">
        <v>879</v>
      </c>
      <c r="J77"/>
    </row>
    <row r="78" spans="1:10" x14ac:dyDescent="0.25">
      <c r="A78" s="25">
        <f t="shared" si="5"/>
        <v>72</v>
      </c>
      <c r="B78" s="2">
        <v>7</v>
      </c>
      <c r="C78" s="2">
        <v>3</v>
      </c>
      <c r="D78" t="str">
        <f>VLOOKUP(C78,TB_ICO_TIPO_RECURSO_PROTEGIDO!$A$7:$I$1165,2,FALSE)</f>
        <v>Grupo de Componentes</v>
      </c>
      <c r="E78" s="2">
        <v>70</v>
      </c>
      <c r="F78" s="2" t="str">
        <f t="shared" si="7"/>
        <v>Prestação de contas</v>
      </c>
      <c r="G78" s="25">
        <f t="shared" si="6"/>
        <v>72</v>
      </c>
      <c r="H78" s="2" t="s">
        <v>1099</v>
      </c>
      <c r="I78" s="2" t="s">
        <v>1094</v>
      </c>
      <c r="J78" s="2" t="s">
        <v>1094</v>
      </c>
    </row>
    <row r="79" spans="1:10" x14ac:dyDescent="0.25">
      <c r="A79" s="25">
        <f t="shared" si="5"/>
        <v>73</v>
      </c>
      <c r="B79" s="2">
        <v>7</v>
      </c>
      <c r="C79" s="2">
        <v>3</v>
      </c>
      <c r="D79" t="str">
        <f>VLOOKUP(C79,TB_ICO_TIPO_RECURSO_PROTEGIDO!$A$7:$I$1165,2,FALSE)</f>
        <v>Grupo de Componentes</v>
      </c>
      <c r="E79" s="2">
        <v>70</v>
      </c>
      <c r="F79" s="2" t="str">
        <f t="shared" si="7"/>
        <v>Prestação de contas</v>
      </c>
      <c r="G79" s="25">
        <f t="shared" si="6"/>
        <v>73</v>
      </c>
      <c r="H79" s="2" t="s">
        <v>1100</v>
      </c>
      <c r="I79" s="2" t="s">
        <v>1095</v>
      </c>
      <c r="J79" s="2" t="s">
        <v>1095</v>
      </c>
    </row>
    <row r="80" spans="1:10" x14ac:dyDescent="0.25">
      <c r="A80" s="25">
        <f t="shared" si="5"/>
        <v>74</v>
      </c>
      <c r="B80" s="2">
        <v>7</v>
      </c>
      <c r="C80" s="2">
        <v>3</v>
      </c>
      <c r="D80" t="str">
        <f>VLOOKUP(C80,TB_ICO_TIPO_RECURSO_PROTEGIDO!$A$7:$I$1165,2,FALSE)</f>
        <v>Grupo de Componentes</v>
      </c>
      <c r="E80" s="2">
        <v>70</v>
      </c>
      <c r="F80" s="2" t="str">
        <f t="shared" si="7"/>
        <v>Prestação de contas</v>
      </c>
      <c r="G80" s="25">
        <f t="shared" si="6"/>
        <v>74</v>
      </c>
      <c r="H80" s="2" t="s">
        <v>1101</v>
      </c>
      <c r="I80" s="2" t="s">
        <v>1096</v>
      </c>
      <c r="J80" s="2" t="s">
        <v>1096</v>
      </c>
    </row>
    <row r="81" spans="1:10" x14ac:dyDescent="0.25">
      <c r="A81" s="25">
        <f t="shared" si="5"/>
        <v>75</v>
      </c>
      <c r="B81" s="2">
        <v>7</v>
      </c>
      <c r="C81" s="2">
        <v>3</v>
      </c>
      <c r="D81" t="str">
        <f>VLOOKUP(C81,TB_ICO_TIPO_RECURSO_PROTEGIDO!$A$7:$I$1165,2,FALSE)</f>
        <v>Grupo de Componentes</v>
      </c>
      <c r="E81" s="2">
        <v>70</v>
      </c>
      <c r="F81" s="2" t="str">
        <f t="shared" si="7"/>
        <v>Prestação de contas</v>
      </c>
      <c r="G81" s="25">
        <f t="shared" si="6"/>
        <v>75</v>
      </c>
      <c r="H81" s="2" t="s">
        <v>1102</v>
      </c>
      <c r="I81" s="2" t="s">
        <v>1097</v>
      </c>
      <c r="J81" s="2" t="s">
        <v>1097</v>
      </c>
    </row>
    <row r="82" spans="1:10" x14ac:dyDescent="0.25">
      <c r="A82" s="25">
        <f t="shared" si="5"/>
        <v>76</v>
      </c>
      <c r="B82" s="2">
        <v>7</v>
      </c>
      <c r="C82" s="2">
        <v>3</v>
      </c>
      <c r="D82" t="str">
        <f>VLOOKUP(C82,TB_ICO_TIPO_RECURSO_PROTEGIDO!$A$7:$I$1165,2,FALSE)</f>
        <v>Grupo de Componentes</v>
      </c>
      <c r="E82" s="2">
        <v>70</v>
      </c>
      <c r="F82" s="2" t="str">
        <f t="shared" si="7"/>
        <v>Prestação de contas</v>
      </c>
      <c r="G82" s="25">
        <f t="shared" si="6"/>
        <v>76</v>
      </c>
      <c r="H82" s="2" t="s">
        <v>1103</v>
      </c>
      <c r="I82" s="2" t="s">
        <v>1098</v>
      </c>
      <c r="J82" s="2" t="s">
        <v>1098</v>
      </c>
    </row>
    <row r="83" spans="1:10" x14ac:dyDescent="0.25">
      <c r="A83" s="25">
        <f t="shared" si="5"/>
        <v>77</v>
      </c>
      <c r="B83" s="2">
        <v>7</v>
      </c>
      <c r="C83" s="2">
        <v>3</v>
      </c>
      <c r="D83" t="str">
        <f>VLOOKUP(C83,TB_ICO_TIPO_RECURSO_PROTEGIDO!$A$7:$I$1165,2,FALSE)</f>
        <v>Grupo de Componentes</v>
      </c>
      <c r="E83" s="2">
        <v>70</v>
      </c>
      <c r="F83" s="2" t="str">
        <f t="shared" si="7"/>
        <v>Prestação de contas</v>
      </c>
      <c r="G83" s="25">
        <f t="shared" si="6"/>
        <v>77</v>
      </c>
      <c r="H83" s="2" t="s">
        <v>1104</v>
      </c>
      <c r="I83" s="2" t="s">
        <v>982</v>
      </c>
      <c r="J83" s="2" t="s">
        <v>982</v>
      </c>
    </row>
    <row r="84" spans="1:10" x14ac:dyDescent="0.25">
      <c r="A84" s="25">
        <f t="shared" si="5"/>
        <v>78</v>
      </c>
      <c r="B84" s="25">
        <v>7</v>
      </c>
      <c r="C84" s="25">
        <v>5</v>
      </c>
      <c r="D84" t="str">
        <f>VLOOKUP(C84,TB_ICO_TIPO_RECURSO_PROTEGIDO!$A$7:$I$1165,2,FALSE)</f>
        <v>Item de menu</v>
      </c>
      <c r="E84" s="25"/>
      <c r="F84" s="25" t="s">
        <v>877</v>
      </c>
      <c r="G84" s="25">
        <f t="shared" si="6"/>
        <v>78</v>
      </c>
      <c r="H84" s="25" t="s">
        <v>1122</v>
      </c>
      <c r="I84" s="25" t="s">
        <v>1123</v>
      </c>
      <c r="J84" s="2" t="s">
        <v>1106</v>
      </c>
    </row>
    <row r="85" spans="1:10" x14ac:dyDescent="0.25">
      <c r="A85" s="25">
        <f t="shared" si="5"/>
        <v>79</v>
      </c>
      <c r="B85" s="25">
        <v>7</v>
      </c>
      <c r="C85" s="25">
        <v>3</v>
      </c>
      <c r="D85" t="str">
        <f>VLOOKUP(C85,TB_ICO_TIPO_RECURSO_PROTEGIDO!$A$7:$I$1165,2,FALSE)</f>
        <v>Grupo de Componentes</v>
      </c>
      <c r="E85" s="25">
        <v>70</v>
      </c>
      <c r="F85" s="25" t="str">
        <f t="shared" ref="F85:F91" si="8">IF(ISERROR(VLOOKUP(E85,$A$7:$I$1172,9,FALSE)),"-",VLOOKUP(E85,$A$7:$I$1172,9,FALSE))</f>
        <v>Prestação de contas</v>
      </c>
      <c r="G85" s="25">
        <f t="shared" si="6"/>
        <v>79</v>
      </c>
      <c r="H85" s="25" t="s">
        <v>1105</v>
      </c>
      <c r="I85" s="25" t="s">
        <v>1106</v>
      </c>
      <c r="J85" s="10" t="s">
        <v>1106</v>
      </c>
    </row>
    <row r="86" spans="1:10" x14ac:dyDescent="0.25">
      <c r="A86" s="25">
        <f t="shared" si="5"/>
        <v>80</v>
      </c>
      <c r="B86" s="2">
        <v>7</v>
      </c>
      <c r="C86" s="2">
        <v>3</v>
      </c>
      <c r="D86" t="str">
        <f>VLOOKUP(C86,TB_ICO_TIPO_RECURSO_PROTEGIDO!$A$7:$I$1165,2,FALSE)</f>
        <v>Grupo de Componentes</v>
      </c>
      <c r="E86" s="2">
        <v>78</v>
      </c>
      <c r="F86" s="2" t="str">
        <f t="shared" si="8"/>
        <v>Lançamentos Realizados</v>
      </c>
      <c r="G86" s="25">
        <f t="shared" si="6"/>
        <v>80</v>
      </c>
      <c r="H86" s="2" t="s">
        <v>1124</v>
      </c>
      <c r="I86" s="2" t="s">
        <v>1128</v>
      </c>
      <c r="J86" s="2" t="s">
        <v>1129</v>
      </c>
    </row>
    <row r="87" spans="1:10" x14ac:dyDescent="0.25">
      <c r="A87" s="25">
        <f t="shared" si="5"/>
        <v>81</v>
      </c>
      <c r="B87" s="2">
        <v>7</v>
      </c>
      <c r="C87" s="2">
        <v>3</v>
      </c>
      <c r="D87" t="str">
        <f>VLOOKUP(C87,TB_ICO_TIPO_RECURSO_PROTEGIDO!$A$7:$I$1165,2,FALSE)</f>
        <v>Grupo de Componentes</v>
      </c>
      <c r="E87" s="2">
        <v>78</v>
      </c>
      <c r="F87" s="2" t="str">
        <f t="shared" si="8"/>
        <v>Lançamentos Realizados</v>
      </c>
      <c r="G87" s="25">
        <f t="shared" si="6"/>
        <v>81</v>
      </c>
      <c r="H87" s="2" t="s">
        <v>1125</v>
      </c>
      <c r="I87" s="2" t="s">
        <v>1130</v>
      </c>
      <c r="J87" s="2" t="s">
        <v>1131</v>
      </c>
    </row>
    <row r="88" spans="1:10" x14ac:dyDescent="0.25">
      <c r="A88" s="25">
        <f t="shared" si="5"/>
        <v>82</v>
      </c>
      <c r="B88" s="2">
        <v>7</v>
      </c>
      <c r="C88" s="2">
        <v>3</v>
      </c>
      <c r="D88" t="str">
        <f>VLOOKUP(C88,TB_ICO_TIPO_RECURSO_PROTEGIDO!$A$7:$I$1165,2,FALSE)</f>
        <v>Grupo de Componentes</v>
      </c>
      <c r="E88" s="2">
        <v>78</v>
      </c>
      <c r="F88" s="2" t="str">
        <f t="shared" si="8"/>
        <v>Lançamentos Realizados</v>
      </c>
      <c r="G88" s="25">
        <f t="shared" si="6"/>
        <v>82</v>
      </c>
      <c r="H88" s="2" t="s">
        <v>1127</v>
      </c>
      <c r="I88" s="2" t="s">
        <v>1132</v>
      </c>
      <c r="J88" s="2" t="s">
        <v>870</v>
      </c>
    </row>
    <row r="89" spans="1:10" x14ac:dyDescent="0.25">
      <c r="A89" s="25">
        <f t="shared" si="5"/>
        <v>83</v>
      </c>
      <c r="B89" s="2">
        <v>7</v>
      </c>
      <c r="C89" s="2">
        <v>3</v>
      </c>
      <c r="D89" t="str">
        <f>VLOOKUP(C89,TB_ICO_TIPO_RECURSO_PROTEGIDO!$A$7:$I$1165,2,FALSE)</f>
        <v>Grupo de Componentes</v>
      </c>
      <c r="E89" s="2">
        <v>78</v>
      </c>
      <c r="F89" s="2" t="str">
        <f t="shared" si="8"/>
        <v>Lançamentos Realizados</v>
      </c>
      <c r="G89" s="25">
        <f t="shared" si="6"/>
        <v>83</v>
      </c>
      <c r="H89" s="2" t="s">
        <v>1126</v>
      </c>
      <c r="I89" s="2" t="s">
        <v>1133</v>
      </c>
      <c r="J89" s="2" t="s">
        <v>873</v>
      </c>
    </row>
    <row r="90" spans="1:10" x14ac:dyDescent="0.25">
      <c r="A90" s="25">
        <f t="shared" si="5"/>
        <v>84</v>
      </c>
      <c r="B90" s="2">
        <v>7</v>
      </c>
      <c r="C90" s="2">
        <v>3</v>
      </c>
      <c r="D90" t="str">
        <f>VLOOKUP(C90,TB_ICO_TIPO_RECURSO_PROTEGIDO!$A$7:$I$1165,2,FALSE)</f>
        <v>Grupo de Componentes</v>
      </c>
      <c r="E90" s="2">
        <v>78</v>
      </c>
      <c r="F90" s="2" t="str">
        <f t="shared" si="8"/>
        <v>Lançamentos Realizados</v>
      </c>
      <c r="G90" s="25">
        <f t="shared" si="6"/>
        <v>84</v>
      </c>
      <c r="H90" s="2" t="s">
        <v>1135</v>
      </c>
      <c r="I90" s="2" t="s">
        <v>1134</v>
      </c>
      <c r="J90" s="2" t="s">
        <v>1136</v>
      </c>
    </row>
    <row r="91" spans="1:10" x14ac:dyDescent="0.25">
      <c r="A91" s="25">
        <f t="shared" si="5"/>
        <v>85</v>
      </c>
      <c r="B91" s="2">
        <v>7</v>
      </c>
      <c r="C91" s="2">
        <v>3</v>
      </c>
      <c r="D91" t="str">
        <f>VLOOKUP(C91,TB_ICO_TIPO_RECURSO_PROTEGIDO!$A$7:$I$1165,2,FALSE)</f>
        <v>Grupo de Componentes</v>
      </c>
      <c r="E91" s="2">
        <v>70</v>
      </c>
      <c r="F91" s="2" t="str">
        <f t="shared" si="8"/>
        <v>Prestação de contas</v>
      </c>
      <c r="G91" s="25">
        <f t="shared" si="6"/>
        <v>85</v>
      </c>
      <c r="H91" s="2" t="s">
        <v>1371</v>
      </c>
      <c r="I91" s="2" t="s">
        <v>1356</v>
      </c>
      <c r="J91" s="2" t="s">
        <v>1372</v>
      </c>
    </row>
    <row r="92" spans="1:10" x14ac:dyDescent="0.25">
      <c r="A92" s="25">
        <f t="shared" si="5"/>
        <v>86</v>
      </c>
      <c r="B92" s="25">
        <v>7</v>
      </c>
      <c r="C92" s="25">
        <v>5</v>
      </c>
      <c r="D92" t="str">
        <f>VLOOKUP(C92,TB_ICO_TIPO_RECURSO_PROTEGIDO!$A$7:$I$1165,2,FALSE)</f>
        <v>Item de menu</v>
      </c>
      <c r="F92" s="25" t="s">
        <v>877</v>
      </c>
      <c r="G92" s="25">
        <f t="shared" si="6"/>
        <v>86</v>
      </c>
      <c r="H92" s="2" t="s">
        <v>1395</v>
      </c>
      <c r="I92" s="2" t="s">
        <v>1399</v>
      </c>
      <c r="J92" s="2" t="s">
        <v>1399</v>
      </c>
    </row>
    <row r="93" spans="1:10" x14ac:dyDescent="0.25">
      <c r="A93" s="25">
        <f t="shared" si="5"/>
        <v>87</v>
      </c>
      <c r="B93" s="25">
        <v>7</v>
      </c>
      <c r="C93" s="25">
        <v>5</v>
      </c>
      <c r="D93" t="str">
        <f>VLOOKUP(C93,TB_ICO_TIPO_RECURSO_PROTEGIDO!$A$7:$I$1165,2,FALSE)</f>
        <v>Item de menu</v>
      </c>
      <c r="F93" s="25" t="s">
        <v>877</v>
      </c>
      <c r="G93" s="25">
        <f t="shared" si="6"/>
        <v>87</v>
      </c>
      <c r="H93" s="2" t="s">
        <v>1396</v>
      </c>
      <c r="I93" s="2" t="s">
        <v>1400</v>
      </c>
      <c r="J93" s="2" t="s">
        <v>1400</v>
      </c>
    </row>
    <row r="94" spans="1:10" x14ac:dyDescent="0.25">
      <c r="A94" s="25">
        <f t="shared" si="5"/>
        <v>88</v>
      </c>
      <c r="B94" s="25">
        <v>7</v>
      </c>
      <c r="C94" s="25">
        <v>5</v>
      </c>
      <c r="D94" t="str">
        <f>VLOOKUP(C94,TB_ICO_TIPO_RECURSO_PROTEGIDO!$A$7:$I$1165,2,FALSE)</f>
        <v>Item de menu</v>
      </c>
      <c r="F94" s="25" t="s">
        <v>877</v>
      </c>
      <c r="G94" s="25">
        <f t="shared" si="6"/>
        <v>88</v>
      </c>
      <c r="H94" s="2" t="s">
        <v>1397</v>
      </c>
      <c r="I94" s="2" t="s">
        <v>1401</v>
      </c>
      <c r="J94" s="2" t="s">
        <v>1401</v>
      </c>
    </row>
    <row r="95" spans="1:10" x14ac:dyDescent="0.25">
      <c r="A95" s="25">
        <f t="shared" si="5"/>
        <v>89</v>
      </c>
      <c r="B95" s="25">
        <v>7</v>
      </c>
      <c r="C95" s="25">
        <v>5</v>
      </c>
      <c r="D95" t="str">
        <f>VLOOKUP(C95,TB_ICO_TIPO_RECURSO_PROTEGIDO!$A$7:$I$1165,2,FALSE)</f>
        <v>Item de menu</v>
      </c>
      <c r="F95" s="25" t="s">
        <v>877</v>
      </c>
      <c r="G95" s="25">
        <f t="shared" si="6"/>
        <v>89</v>
      </c>
      <c r="H95" s="2" t="s">
        <v>1398</v>
      </c>
      <c r="I95" s="2" t="s">
        <v>1402</v>
      </c>
      <c r="J95" s="2" t="s">
        <v>1402</v>
      </c>
    </row>
    <row r="96" spans="1:10" x14ac:dyDescent="0.25">
      <c r="A96" s="25">
        <f t="shared" si="5"/>
        <v>90</v>
      </c>
      <c r="B96" s="25">
        <v>7</v>
      </c>
      <c r="C96" s="25">
        <v>3</v>
      </c>
      <c r="D96" t="str">
        <f>VLOOKUP(C96,TB_ICO_TIPO_RECURSO_PROTEGIDO!$A$7:$I$1165,2,FALSE)</f>
        <v>Grupo de Componentes</v>
      </c>
      <c r="E96" s="2">
        <v>61</v>
      </c>
      <c r="F96" s="25" t="str">
        <f>IF(ISERROR(VLOOKUP(E96,$A$7:$I$1172,9,FALSE)),"-",VLOOKUP(E96,$A$7:$I$1172,9,FALSE))</f>
        <v>Memória de Cálculo</v>
      </c>
      <c r="G96" s="25">
        <f t="shared" si="6"/>
        <v>90</v>
      </c>
      <c r="H96" s="2" t="s">
        <v>1403</v>
      </c>
      <c r="I96" s="2" t="s">
        <v>1404</v>
      </c>
      <c r="J96" s="2" t="s">
        <v>1404</v>
      </c>
    </row>
    <row r="97" spans="1:10" x14ac:dyDescent="0.25">
      <c r="A97" s="25">
        <f t="shared" si="5"/>
        <v>91</v>
      </c>
      <c r="B97" s="2">
        <v>7</v>
      </c>
      <c r="C97" s="25">
        <v>5</v>
      </c>
      <c r="D97" t="str">
        <f>VLOOKUP(C97,TB_ICO_TIPO_RECURSO_PROTEGIDO!$A$7:$I$1165,2,FALSE)</f>
        <v>Item de menu</v>
      </c>
      <c r="E97" s="25"/>
      <c r="F97" s="25" t="s">
        <v>877</v>
      </c>
      <c r="G97" s="25">
        <f t="shared" si="6"/>
        <v>91</v>
      </c>
      <c r="H97" s="2" t="s">
        <v>1470</v>
      </c>
      <c r="I97" s="2" t="s">
        <v>1469</v>
      </c>
      <c r="J97" s="2" t="s">
        <v>1469</v>
      </c>
    </row>
    <row r="98" spans="1:10" s="25" customFormat="1" x14ac:dyDescent="0.25">
      <c r="A98" s="25">
        <f t="shared" si="5"/>
        <v>92</v>
      </c>
      <c r="B98" s="25">
        <v>7</v>
      </c>
      <c r="C98" s="25">
        <v>3</v>
      </c>
      <c r="D98" t="str">
        <f>VLOOKUP(C98,TB_ICO_TIPO_RECURSO_PROTEGIDO!$A$7:$I$1165,2,FALSE)</f>
        <v>Grupo de Componentes</v>
      </c>
      <c r="E98" s="25">
        <v>70</v>
      </c>
      <c r="F98" s="25" t="str">
        <f>IF(ISERROR(VLOOKUP(E98,$A$7:$I$1172,9,FALSE)),"-",VLOOKUP(E98,$A$7:$I$1172,9,FALSE))</f>
        <v>Prestação de contas</v>
      </c>
      <c r="G98" s="25">
        <f t="shared" si="6"/>
        <v>92</v>
      </c>
      <c r="H98" s="25" t="s">
        <v>1472</v>
      </c>
      <c r="I98" s="25" t="s">
        <v>1473</v>
      </c>
      <c r="J98" s="25" t="s">
        <v>1473</v>
      </c>
    </row>
    <row r="99" spans="1:10" s="25" customFormat="1" x14ac:dyDescent="0.25">
      <c r="A99" s="25">
        <f t="shared" si="5"/>
        <v>93</v>
      </c>
      <c r="B99" s="25">
        <v>7</v>
      </c>
      <c r="C99" s="25">
        <v>5</v>
      </c>
      <c r="D99" t="str">
        <f>VLOOKUP(C99,TB_ICO_TIPO_RECURSO_PROTEGIDO!$A$7:$I$1165,2,FALSE)</f>
        <v>Item de menu</v>
      </c>
      <c r="F99" s="25" t="s">
        <v>877</v>
      </c>
      <c r="G99" s="25">
        <f t="shared" si="6"/>
        <v>93</v>
      </c>
      <c r="H99" s="25" t="s">
        <v>1528</v>
      </c>
      <c r="I99" s="25" t="s">
        <v>1529</v>
      </c>
      <c r="J99" s="25" t="s">
        <v>1529</v>
      </c>
    </row>
    <row r="100" spans="1:10" x14ac:dyDescent="0.25">
      <c r="A100" s="25">
        <f t="shared" si="5"/>
        <v>94</v>
      </c>
      <c r="B100" s="25">
        <v>7</v>
      </c>
      <c r="C100" s="25">
        <v>3</v>
      </c>
      <c r="D100" t="str">
        <f>VLOOKUP(C100,TB_ICO_TIPO_RECURSO_PROTEGIDO!$A$7:$I$1165,2,FALSE)</f>
        <v>Grupo de Componentes</v>
      </c>
      <c r="E100" s="25">
        <v>92</v>
      </c>
      <c r="F100" s="25" t="str">
        <f>IF(ISERROR(VLOOKUP(E100,$A$7:$I$1172,9,FALSE)),"-",VLOOKUP(E100,$A$7:$I$1172,9,FALSE))</f>
        <v>Incluir arquivos da prestação de contas</v>
      </c>
      <c r="G100" s="25">
        <f t="shared" si="6"/>
        <v>94</v>
      </c>
      <c r="H100" s="2" t="s">
        <v>1518</v>
      </c>
      <c r="I100" s="2" t="s">
        <v>1523</v>
      </c>
      <c r="J100" s="25" t="s">
        <v>1523</v>
      </c>
    </row>
    <row r="101" spans="1:10" x14ac:dyDescent="0.25">
      <c r="A101" s="25">
        <f t="shared" si="5"/>
        <v>95</v>
      </c>
      <c r="B101" s="25">
        <v>7</v>
      </c>
      <c r="C101" s="25">
        <v>3</v>
      </c>
      <c r="D101" t="str">
        <f>VLOOKUP(C101,TB_ICO_TIPO_RECURSO_PROTEGIDO!$A$7:$I$1165,2,FALSE)</f>
        <v>Grupo de Componentes</v>
      </c>
      <c r="E101" s="25">
        <v>92</v>
      </c>
      <c r="F101" s="25" t="str">
        <f>IF(ISERROR(VLOOKUP(E101,$A$7:$I$1172,9,FALSE)),"-",VLOOKUP(E101,$A$7:$I$1172,9,FALSE))</f>
        <v>Incluir arquivos da prestação de contas</v>
      </c>
      <c r="G101" s="25">
        <f t="shared" si="6"/>
        <v>95</v>
      </c>
      <c r="H101" s="2" t="s">
        <v>1519</v>
      </c>
      <c r="I101" s="2" t="s">
        <v>1524</v>
      </c>
      <c r="J101" s="25" t="s">
        <v>1524</v>
      </c>
    </row>
    <row r="102" spans="1:10" x14ac:dyDescent="0.25">
      <c r="A102" s="25">
        <f t="shared" si="5"/>
        <v>96</v>
      </c>
      <c r="B102" s="25">
        <v>7</v>
      </c>
      <c r="C102" s="25">
        <v>3</v>
      </c>
      <c r="D102" t="str">
        <f>VLOOKUP(C102,TB_ICO_TIPO_RECURSO_PROTEGIDO!$A$7:$I$1165,2,FALSE)</f>
        <v>Grupo de Componentes</v>
      </c>
      <c r="E102" s="25">
        <v>92</v>
      </c>
      <c r="F102" s="25" t="str">
        <f>IF(ISERROR(VLOOKUP(E102,$A$7:$I$1172,9,FALSE)),"-",VLOOKUP(E102,$A$7:$I$1172,9,FALSE))</f>
        <v>Incluir arquivos da prestação de contas</v>
      </c>
      <c r="G102" s="25">
        <f t="shared" si="6"/>
        <v>96</v>
      </c>
      <c r="H102" s="2" t="s">
        <v>1520</v>
      </c>
      <c r="I102" s="2" t="s">
        <v>1525</v>
      </c>
      <c r="J102" s="25" t="s">
        <v>1525</v>
      </c>
    </row>
    <row r="103" spans="1:10" x14ac:dyDescent="0.25">
      <c r="A103" s="25">
        <f t="shared" si="5"/>
        <v>97</v>
      </c>
      <c r="B103" s="25">
        <v>7</v>
      </c>
      <c r="C103" s="25">
        <v>3</v>
      </c>
      <c r="D103" t="str">
        <f>VLOOKUP(C103,TB_ICO_TIPO_RECURSO_PROTEGIDO!$A$7:$I$1165,2,FALSE)</f>
        <v>Grupo de Componentes</v>
      </c>
      <c r="E103" s="25">
        <v>92</v>
      </c>
      <c r="F103" s="25" t="str">
        <f>IF(ISERROR(VLOOKUP(E103,$A$7:$I$1172,9,FALSE)),"-",VLOOKUP(E103,$A$7:$I$1172,9,FALSE))</f>
        <v>Incluir arquivos da prestação de contas</v>
      </c>
      <c r="G103" s="25">
        <f t="shared" si="6"/>
        <v>97</v>
      </c>
      <c r="H103" s="2" t="s">
        <v>1521</v>
      </c>
      <c r="I103" s="2" t="s">
        <v>1526</v>
      </c>
      <c r="J103" s="25" t="s">
        <v>1526</v>
      </c>
    </row>
    <row r="104" spans="1:10" x14ac:dyDescent="0.25">
      <c r="A104" s="25">
        <f t="shared" si="5"/>
        <v>98</v>
      </c>
      <c r="B104" s="25">
        <v>7</v>
      </c>
      <c r="C104" s="25">
        <v>3</v>
      </c>
      <c r="D104" t="str">
        <f>VLOOKUP(C104,TB_ICO_TIPO_RECURSO_PROTEGIDO!$A$7:$I$1165,2,FALSE)</f>
        <v>Grupo de Componentes</v>
      </c>
      <c r="E104" s="25">
        <v>92</v>
      </c>
      <c r="F104" s="25" t="str">
        <f>IF(ISERROR(VLOOKUP(E104,$A$7:$I$1172,9,FALSE)),"-",VLOOKUP(E104,$A$7:$I$1172,9,FALSE))</f>
        <v>Incluir arquivos da prestação de contas</v>
      </c>
      <c r="G104" s="25">
        <f t="shared" si="6"/>
        <v>98</v>
      </c>
      <c r="H104" s="2" t="s">
        <v>1522</v>
      </c>
      <c r="I104" s="2" t="s">
        <v>1527</v>
      </c>
      <c r="J104" s="25" t="s">
        <v>1527</v>
      </c>
    </row>
    <row r="105" spans="1:10" x14ac:dyDescent="0.25">
      <c r="A105" s="25">
        <f t="shared" si="5"/>
        <v>99</v>
      </c>
      <c r="B105" s="2">
        <v>7</v>
      </c>
      <c r="C105" s="2">
        <v>5</v>
      </c>
      <c r="D105" t="str">
        <f>VLOOKUP(C105,TB_ICO_TIPO_RECURSO_PROTEGIDO!$A$7:$I$1165,2,FALSE)</f>
        <v>Item de menu</v>
      </c>
      <c r="F105" s="25" t="s">
        <v>877</v>
      </c>
      <c r="G105" s="25">
        <f t="shared" si="6"/>
        <v>99</v>
      </c>
      <c r="H105" s="2" t="s">
        <v>1698</v>
      </c>
      <c r="I105" s="2" t="s">
        <v>1699</v>
      </c>
      <c r="J105" s="25" t="s">
        <v>1699</v>
      </c>
    </row>
    <row r="106" spans="1:10" x14ac:dyDescent="0.25">
      <c r="A106" s="25">
        <f t="shared" si="5"/>
        <v>100</v>
      </c>
      <c r="B106" s="2">
        <v>7</v>
      </c>
      <c r="C106" s="2">
        <v>5</v>
      </c>
      <c r="D106" t="str">
        <f>VLOOKUP(C106,TB_ICO_TIPO_RECURSO_PROTEGIDO!$A$7:$I$1165,2,FALSE)</f>
        <v>Item de menu</v>
      </c>
      <c r="F106" s="25" t="s">
        <v>877</v>
      </c>
      <c r="G106" s="25">
        <f t="shared" si="6"/>
        <v>100</v>
      </c>
      <c r="H106" s="2" t="s">
        <v>1700</v>
      </c>
      <c r="I106" s="2" t="s">
        <v>1701</v>
      </c>
      <c r="J106" s="25" t="s">
        <v>1701</v>
      </c>
    </row>
    <row r="107" spans="1:10" x14ac:dyDescent="0.25">
      <c r="A107" s="25">
        <f t="shared" si="5"/>
        <v>101</v>
      </c>
      <c r="B107" s="2">
        <v>7</v>
      </c>
      <c r="C107" s="2">
        <v>5</v>
      </c>
      <c r="D107" t="str">
        <f>VLOOKUP(C107,TB_ICO_TIPO_RECURSO_PROTEGIDO!$A$7:$I$1165,2,FALSE)</f>
        <v>Item de menu</v>
      </c>
      <c r="F107" s="25" t="s">
        <v>877</v>
      </c>
      <c r="G107" s="25">
        <f t="shared" si="6"/>
        <v>101</v>
      </c>
      <c r="H107" s="2" t="s">
        <v>1702</v>
      </c>
      <c r="I107" s="2" t="s">
        <v>1703</v>
      </c>
      <c r="J107" s="2" t="s">
        <v>1703</v>
      </c>
    </row>
    <row r="108" spans="1:10" x14ac:dyDescent="0.25">
      <c r="A108" s="25">
        <f t="shared" si="5"/>
        <v>102</v>
      </c>
      <c r="B108" s="2">
        <v>7</v>
      </c>
      <c r="C108" s="2">
        <v>5</v>
      </c>
      <c r="D108" t="str">
        <f>VLOOKUP(C108,TB_ICO_TIPO_RECURSO_PROTEGIDO!$A$7:$I$1165,2,FALSE)</f>
        <v>Item de menu</v>
      </c>
      <c r="F108" s="25" t="s">
        <v>877</v>
      </c>
      <c r="G108" s="25">
        <f t="shared" si="6"/>
        <v>102</v>
      </c>
      <c r="H108" s="2" t="s">
        <v>1704</v>
      </c>
      <c r="I108" s="2" t="s">
        <v>1705</v>
      </c>
      <c r="J108" s="25" t="s">
        <v>1705</v>
      </c>
    </row>
    <row r="109" spans="1:10" x14ac:dyDescent="0.25">
      <c r="A109" s="25">
        <f t="shared" si="5"/>
        <v>103</v>
      </c>
      <c r="B109" s="2">
        <v>7</v>
      </c>
      <c r="C109" s="2">
        <v>5</v>
      </c>
      <c r="D109" t="str">
        <f>VLOOKUP(C109,TB_ICO_TIPO_RECURSO_PROTEGIDO!$A$7:$I$1165,2,FALSE)</f>
        <v>Item de menu</v>
      </c>
      <c r="F109" s="25" t="s">
        <v>877</v>
      </c>
      <c r="G109" s="25">
        <f t="shared" si="6"/>
        <v>103</v>
      </c>
      <c r="H109" s="2" t="s">
        <v>1706</v>
      </c>
      <c r="I109" s="2" t="s">
        <v>1707</v>
      </c>
      <c r="J109" s="2" t="s">
        <v>1707</v>
      </c>
    </row>
    <row r="110" spans="1:10" x14ac:dyDescent="0.25">
      <c r="A110" s="25">
        <f t="shared" si="5"/>
        <v>104</v>
      </c>
      <c r="B110" s="25">
        <v>7</v>
      </c>
      <c r="C110" s="25">
        <v>5</v>
      </c>
      <c r="D110" t="str">
        <f>VLOOKUP(C110,TB_ICO_TIPO_RECURSO_PROTEGIDO!$A$7:$I$1165,2,FALSE)</f>
        <v>Item de menu</v>
      </c>
      <c r="F110" s="25" t="s">
        <v>877</v>
      </c>
      <c r="G110" s="25">
        <f t="shared" si="6"/>
        <v>104</v>
      </c>
      <c r="H110" s="2" t="s">
        <v>1825</v>
      </c>
      <c r="I110" s="2" t="s">
        <v>1826</v>
      </c>
      <c r="J110" s="2" t="s">
        <v>1826</v>
      </c>
    </row>
    <row r="111" spans="1:10" x14ac:dyDescent="0.25">
      <c r="A111" s="25">
        <f t="shared" si="5"/>
        <v>105</v>
      </c>
      <c r="B111" s="25">
        <v>7</v>
      </c>
      <c r="C111" s="2">
        <v>3</v>
      </c>
      <c r="D111" t="str">
        <f>VLOOKUP(C111,TB_ICO_TIPO_RECURSO_PROTEGIDO!$A$7:$I$1165,2,FALSE)</f>
        <v>Grupo de Componentes</v>
      </c>
      <c r="F111" s="25" t="s">
        <v>877</v>
      </c>
      <c r="G111" s="25">
        <f t="shared" si="6"/>
        <v>105</v>
      </c>
      <c r="H111" s="2" t="s">
        <v>1827</v>
      </c>
      <c r="I111" s="2" t="s">
        <v>1829</v>
      </c>
      <c r="J111" s="2" t="s">
        <v>1829</v>
      </c>
    </row>
    <row r="112" spans="1:10" x14ac:dyDescent="0.25">
      <c r="A112" s="25">
        <f t="shared" si="5"/>
        <v>106</v>
      </c>
      <c r="B112" s="25">
        <v>7</v>
      </c>
      <c r="C112" s="2">
        <v>3</v>
      </c>
      <c r="D112" t="str">
        <f>VLOOKUP(C112,TB_ICO_TIPO_RECURSO_PROTEGIDO!$A$7:$I$1165,2,FALSE)</f>
        <v>Grupo de Componentes</v>
      </c>
      <c r="F112" s="25" t="s">
        <v>877</v>
      </c>
      <c r="G112" s="25">
        <f t="shared" si="6"/>
        <v>106</v>
      </c>
      <c r="H112" s="2" t="s">
        <v>1828</v>
      </c>
      <c r="I112" s="2" t="s">
        <v>1830</v>
      </c>
      <c r="J112" s="2" t="s">
        <v>1830</v>
      </c>
    </row>
    <row r="113" spans="1:11" x14ac:dyDescent="0.25">
      <c r="A113" s="25">
        <f t="shared" si="5"/>
        <v>107</v>
      </c>
      <c r="B113" s="2">
        <v>7</v>
      </c>
      <c r="C113" s="25">
        <v>5</v>
      </c>
      <c r="D113" t="str">
        <f>VLOOKUP(C113,TB_ICO_TIPO_RECURSO_PROTEGIDO!$A$7:$I$1165,2,FALSE)</f>
        <v>Item de menu</v>
      </c>
      <c r="E113" s="25"/>
      <c r="F113" s="25" t="s">
        <v>877</v>
      </c>
      <c r="G113" s="25">
        <f t="shared" si="6"/>
        <v>107</v>
      </c>
      <c r="H113" s="2" t="s">
        <v>1848</v>
      </c>
      <c r="I113" s="2" t="s">
        <v>1849</v>
      </c>
      <c r="J113" s="25" t="s">
        <v>1849</v>
      </c>
    </row>
    <row r="114" spans="1:11" x14ac:dyDescent="0.25">
      <c r="A114" s="25">
        <f t="shared" si="5"/>
        <v>108</v>
      </c>
      <c r="B114" s="25">
        <v>7</v>
      </c>
      <c r="C114" s="25">
        <v>5</v>
      </c>
      <c r="D114" t="str">
        <f>VLOOKUP(C114,TB_ICO_TIPO_RECURSO_PROTEGIDO!$A$7:$I$1165,2,FALSE)</f>
        <v>Item de menu</v>
      </c>
      <c r="E114" s="25"/>
      <c r="F114" s="25" t="s">
        <v>877</v>
      </c>
      <c r="G114" s="25">
        <f t="shared" si="6"/>
        <v>108</v>
      </c>
      <c r="H114" s="2" t="s">
        <v>1850</v>
      </c>
      <c r="I114" s="2" t="s">
        <v>1851</v>
      </c>
      <c r="J114" s="25" t="s">
        <v>1851</v>
      </c>
    </row>
    <row r="115" spans="1:11" x14ac:dyDescent="0.25">
      <c r="A115" s="25">
        <f t="shared" si="5"/>
        <v>109</v>
      </c>
      <c r="B115" s="25">
        <v>7</v>
      </c>
      <c r="C115" s="25">
        <v>5</v>
      </c>
      <c r="D115" t="str">
        <f>VLOOKUP(C115,TB_ICO_TIPO_RECURSO_PROTEGIDO!$A$7:$I$1165,2,FALSE)</f>
        <v>Item de menu</v>
      </c>
      <c r="E115" s="25"/>
      <c r="F115" s="25" t="s">
        <v>877</v>
      </c>
      <c r="G115" s="25">
        <f t="shared" si="6"/>
        <v>109</v>
      </c>
      <c r="H115" s="25" t="s">
        <v>1852</v>
      </c>
      <c r="I115" s="25" t="s">
        <v>1853</v>
      </c>
      <c r="J115" s="25" t="s">
        <v>1853</v>
      </c>
    </row>
    <row r="116" spans="1:11" x14ac:dyDescent="0.25">
      <c r="A116" s="25">
        <f t="shared" si="5"/>
        <v>110</v>
      </c>
      <c r="B116" s="25">
        <v>7</v>
      </c>
      <c r="C116" s="25">
        <v>5</v>
      </c>
      <c r="D116" t="str">
        <f>VLOOKUP(C116,TB_ICO_TIPO_RECURSO_PROTEGIDO!$A$7:$I$1165,2,FALSE)</f>
        <v>Item de menu</v>
      </c>
      <c r="E116" s="25"/>
      <c r="F116" s="25" t="s">
        <v>877</v>
      </c>
      <c r="G116" s="25">
        <f t="shared" si="6"/>
        <v>110</v>
      </c>
      <c r="H116" s="2" t="s">
        <v>1854</v>
      </c>
      <c r="I116" s="2" t="s">
        <v>1855</v>
      </c>
      <c r="J116" s="2" t="s">
        <v>1855</v>
      </c>
    </row>
    <row r="117" spans="1:11" s="25" customFormat="1" x14ac:dyDescent="0.25">
      <c r="A117" s="25">
        <f t="shared" si="5"/>
        <v>111</v>
      </c>
      <c r="B117" s="25">
        <v>7</v>
      </c>
      <c r="C117" s="25">
        <v>5</v>
      </c>
      <c r="D117" t="str">
        <f>VLOOKUP(C117,TB_ICO_TIPO_RECURSO_PROTEGIDO!$A$7:$I$1165,2,FALSE)</f>
        <v>Item de menu</v>
      </c>
      <c r="F117" s="25" t="s">
        <v>877</v>
      </c>
      <c r="G117" s="25">
        <f t="shared" si="6"/>
        <v>111</v>
      </c>
      <c r="H117" s="25" t="s">
        <v>1856</v>
      </c>
      <c r="I117" s="25" t="s">
        <v>1857</v>
      </c>
      <c r="J117" s="25" t="s">
        <v>1857</v>
      </c>
    </row>
    <row r="118" spans="1:11" s="25" customFormat="1" x14ac:dyDescent="0.25">
      <c r="A118" s="25">
        <f t="shared" si="5"/>
        <v>112</v>
      </c>
      <c r="B118" s="25">
        <v>7</v>
      </c>
      <c r="C118" s="25">
        <v>3</v>
      </c>
      <c r="D118" t="str">
        <f>VLOOKUP(C118,TB_ICO_TIPO_RECURSO_PROTEGIDO!$A$7:$I$1165,2,FALSE)</f>
        <v>Grupo de Componentes</v>
      </c>
      <c r="F118" s="25" t="s">
        <v>877</v>
      </c>
      <c r="G118" s="25">
        <f t="shared" si="6"/>
        <v>112</v>
      </c>
      <c r="H118" s="25" t="s">
        <v>1837</v>
      </c>
      <c r="I118" s="25" t="s">
        <v>1838</v>
      </c>
      <c r="J118" s="25" t="s">
        <v>1838</v>
      </c>
    </row>
    <row r="119" spans="1:11" s="25" customFormat="1" x14ac:dyDescent="0.25">
      <c r="A119" s="25">
        <f t="shared" si="5"/>
        <v>113</v>
      </c>
      <c r="B119" s="25">
        <v>7</v>
      </c>
      <c r="C119" s="25">
        <v>3</v>
      </c>
      <c r="D119" t="str">
        <f>VLOOKUP(C119,TB_ICO_TIPO_RECURSO_PROTEGIDO!$A$7:$I$1165,2,FALSE)</f>
        <v>Grupo de Componentes</v>
      </c>
      <c r="F119" s="25" t="s">
        <v>877</v>
      </c>
      <c r="G119" s="25">
        <f t="shared" si="6"/>
        <v>113</v>
      </c>
      <c r="H119" s="25" t="s">
        <v>1841</v>
      </c>
      <c r="I119" s="25" t="s">
        <v>1842</v>
      </c>
      <c r="J119" s="25" t="s">
        <v>1842</v>
      </c>
      <c r="K119" s="33"/>
    </row>
    <row r="120" spans="1:11" s="25" customFormat="1" x14ac:dyDescent="0.25">
      <c r="A120" s="25">
        <f t="shared" si="5"/>
        <v>114</v>
      </c>
      <c r="B120" s="25">
        <v>7</v>
      </c>
      <c r="C120" s="25">
        <v>3</v>
      </c>
      <c r="D120" t="str">
        <f>VLOOKUP(C120,TB_ICO_TIPO_RECURSO_PROTEGIDO!$A$7:$I$1165,2,FALSE)</f>
        <v>Grupo de Componentes</v>
      </c>
      <c r="F120" s="25" t="s">
        <v>877</v>
      </c>
      <c r="G120" s="25">
        <f t="shared" si="6"/>
        <v>114</v>
      </c>
      <c r="H120" s="25" t="s">
        <v>1839</v>
      </c>
      <c r="I120" s="25" t="s">
        <v>1840</v>
      </c>
      <c r="J120" s="25" t="s">
        <v>1840</v>
      </c>
    </row>
    <row r="121" spans="1:11" s="25" customFormat="1" x14ac:dyDescent="0.25">
      <c r="A121" s="25">
        <f t="shared" si="5"/>
        <v>115</v>
      </c>
      <c r="B121" s="25">
        <v>7</v>
      </c>
      <c r="C121" s="25">
        <v>3</v>
      </c>
      <c r="D121" t="str">
        <f>VLOOKUP(C121,TB_ICO_TIPO_RECURSO_PROTEGIDO!$A$7:$I$1165,2,FALSE)</f>
        <v>Grupo de Componentes</v>
      </c>
      <c r="F121" s="25" t="s">
        <v>877</v>
      </c>
      <c r="G121" s="25">
        <f t="shared" si="6"/>
        <v>115</v>
      </c>
      <c r="H121" s="25" t="s">
        <v>1843</v>
      </c>
      <c r="I121" s="25" t="s">
        <v>1844</v>
      </c>
      <c r="J121" s="25" t="s">
        <v>1844</v>
      </c>
    </row>
    <row r="122" spans="1:11" s="25" customFormat="1" x14ac:dyDescent="0.25">
      <c r="A122" s="25">
        <f t="shared" si="5"/>
        <v>116</v>
      </c>
      <c r="B122" s="25">
        <v>7</v>
      </c>
      <c r="C122" s="25">
        <v>3</v>
      </c>
      <c r="D122" t="str">
        <f>VLOOKUP(C122,TB_ICO_TIPO_RECURSO_PROTEGIDO!$A$7:$I$1165,2,FALSE)</f>
        <v>Grupo de Componentes</v>
      </c>
      <c r="F122" s="25" t="s">
        <v>877</v>
      </c>
      <c r="G122" s="25">
        <f t="shared" si="6"/>
        <v>116</v>
      </c>
      <c r="H122" s="25" t="s">
        <v>1845</v>
      </c>
      <c r="I122" s="25" t="s">
        <v>1846</v>
      </c>
      <c r="J122" s="25" t="s">
        <v>1847</v>
      </c>
    </row>
    <row r="123" spans="1:11" x14ac:dyDescent="0.25">
      <c r="A123" s="25">
        <f t="shared" si="5"/>
        <v>117</v>
      </c>
      <c r="B123" s="25">
        <v>7</v>
      </c>
      <c r="C123" s="2">
        <v>1</v>
      </c>
      <c r="D123" t="str">
        <f>VLOOKUP(C123,TB_ICO_TIPO_RECURSO_PROTEGIDO!$A$7:$I$1165,2,FALSE)</f>
        <v>Botão</v>
      </c>
      <c r="F123" s="25" t="s">
        <v>877</v>
      </c>
      <c r="G123" s="25">
        <f t="shared" si="6"/>
        <v>117</v>
      </c>
      <c r="H123" s="10" t="s">
        <v>1959</v>
      </c>
      <c r="I123" s="10" t="s">
        <v>1960</v>
      </c>
      <c r="J123" s="10" t="s">
        <v>1960</v>
      </c>
    </row>
    <row r="124" spans="1:11" x14ac:dyDescent="0.25">
      <c r="A124" s="25">
        <f t="shared" si="5"/>
        <v>118</v>
      </c>
      <c r="B124" s="25">
        <v>7</v>
      </c>
      <c r="C124" s="2">
        <v>1</v>
      </c>
      <c r="D124" t="str">
        <f>VLOOKUP(C124,TB_ICO_TIPO_RECURSO_PROTEGIDO!$A$7:$I$1165,2,FALSE)</f>
        <v>Botão</v>
      </c>
      <c r="F124" s="25" t="s">
        <v>877</v>
      </c>
      <c r="G124" s="25">
        <f t="shared" si="6"/>
        <v>118</v>
      </c>
      <c r="H124" s="10" t="s">
        <v>1961</v>
      </c>
      <c r="I124" s="10" t="s">
        <v>1891</v>
      </c>
      <c r="J124" s="10" t="s">
        <v>1891</v>
      </c>
    </row>
    <row r="125" spans="1:11" x14ac:dyDescent="0.25">
      <c r="A125" s="25">
        <f t="shared" si="5"/>
        <v>119</v>
      </c>
      <c r="B125" s="25">
        <v>7</v>
      </c>
      <c r="C125" s="2">
        <v>1</v>
      </c>
      <c r="D125" t="str">
        <f>VLOOKUP(C125,TB_ICO_TIPO_RECURSO_PROTEGIDO!$A$7:$I$1165,2,FALSE)</f>
        <v>Botão</v>
      </c>
      <c r="F125" s="25" t="s">
        <v>877</v>
      </c>
      <c r="G125" s="25">
        <f t="shared" si="6"/>
        <v>119</v>
      </c>
      <c r="H125" s="10" t="s">
        <v>1962</v>
      </c>
      <c r="I125" s="10" t="s">
        <v>1963</v>
      </c>
      <c r="J125" s="10" t="s">
        <v>1963</v>
      </c>
    </row>
    <row r="126" spans="1:11" x14ac:dyDescent="0.25">
      <c r="A126" s="25">
        <f t="shared" si="5"/>
        <v>120</v>
      </c>
      <c r="B126" s="25">
        <v>7</v>
      </c>
      <c r="C126" s="2">
        <v>5</v>
      </c>
      <c r="D126" t="str">
        <f>VLOOKUP(C126,TB_ICO_TIPO_RECURSO_PROTEGIDO!$A$7:$I$1165,2,FALSE)</f>
        <v>Item de menu</v>
      </c>
      <c r="F126" s="25" t="s">
        <v>877</v>
      </c>
      <c r="G126" s="25">
        <f t="shared" si="6"/>
        <v>120</v>
      </c>
      <c r="H126" s="10" t="s">
        <v>1964</v>
      </c>
      <c r="I126" s="10" t="s">
        <v>1958</v>
      </c>
      <c r="J126" s="10" t="s">
        <v>1958</v>
      </c>
    </row>
    <row r="127" spans="1:11" x14ac:dyDescent="0.25">
      <c r="A127" s="25">
        <f t="shared" si="5"/>
        <v>121</v>
      </c>
      <c r="B127" s="25">
        <v>7</v>
      </c>
      <c r="C127" s="25">
        <v>5</v>
      </c>
      <c r="D127" t="str">
        <f>VLOOKUP(C127,TB_ICO_TIPO_RECURSO_PROTEGIDO!$A$7:$I$1165,2,FALSE)</f>
        <v>Item de menu</v>
      </c>
      <c r="G127" s="25">
        <f t="shared" si="6"/>
        <v>121</v>
      </c>
      <c r="H127" s="2" t="s">
        <v>1984</v>
      </c>
      <c r="I127" s="2" t="s">
        <v>1985</v>
      </c>
      <c r="J127" s="2" t="s">
        <v>1985</v>
      </c>
    </row>
    <row r="128" spans="1:11" x14ac:dyDescent="0.25">
      <c r="A128" s="25">
        <f t="shared" si="5"/>
        <v>122</v>
      </c>
      <c r="B128" s="25">
        <v>7</v>
      </c>
      <c r="C128" s="25">
        <v>3</v>
      </c>
      <c r="D128" t="str">
        <f>VLOOKUP(C128,TB_ICO_TIPO_RECURSO_PROTEGIDO!$A$7:$I$1165,2,FALSE)</f>
        <v>Grupo de Componentes</v>
      </c>
      <c r="G128" s="25">
        <f t="shared" si="6"/>
        <v>122</v>
      </c>
      <c r="H128" s="2" t="s">
        <v>1986</v>
      </c>
      <c r="I128" s="2" t="s">
        <v>1980</v>
      </c>
      <c r="J128" s="25" t="s">
        <v>1980</v>
      </c>
    </row>
    <row r="129" spans="1:10" x14ac:dyDescent="0.25">
      <c r="A129" s="25">
        <f t="shared" si="5"/>
        <v>123</v>
      </c>
      <c r="B129" s="25">
        <v>7</v>
      </c>
      <c r="C129" s="25">
        <v>3</v>
      </c>
      <c r="D129" t="str">
        <f>VLOOKUP(C129,TB_ICO_TIPO_RECURSO_PROTEGIDO!$A$7:$I$1165,2,FALSE)</f>
        <v>Grupo de Componentes</v>
      </c>
      <c r="G129" s="25">
        <f t="shared" si="6"/>
        <v>123</v>
      </c>
      <c r="H129" s="2" t="s">
        <v>1987</v>
      </c>
      <c r="I129" s="25" t="s">
        <v>1982</v>
      </c>
      <c r="J129" s="25" t="s">
        <v>1982</v>
      </c>
    </row>
    <row r="130" spans="1:10" x14ac:dyDescent="0.25">
      <c r="A130" s="25">
        <f t="shared" si="5"/>
        <v>124</v>
      </c>
      <c r="B130" s="25">
        <v>7</v>
      </c>
      <c r="C130" s="25">
        <v>3</v>
      </c>
      <c r="D130" t="str">
        <f>VLOOKUP(C130,TB_ICO_TIPO_RECURSO_PROTEGIDO!$A$7:$I$1165,2,FALSE)</f>
        <v>Grupo de Componentes</v>
      </c>
      <c r="G130" s="25">
        <f t="shared" si="6"/>
        <v>124</v>
      </c>
      <c r="H130" s="2" t="s">
        <v>1988</v>
      </c>
      <c r="I130" s="25" t="s">
        <v>1981</v>
      </c>
      <c r="J130" s="25" t="s">
        <v>1981</v>
      </c>
    </row>
    <row r="131" spans="1:10" x14ac:dyDescent="0.25">
      <c r="A131" s="25">
        <f t="shared" si="5"/>
        <v>125</v>
      </c>
      <c r="B131" s="25">
        <v>7</v>
      </c>
      <c r="C131" s="25">
        <v>3</v>
      </c>
      <c r="D131" t="str">
        <f>VLOOKUP(C131,TB_ICO_TIPO_RECURSO_PROTEGIDO!$A$7:$I$1165,2,FALSE)</f>
        <v>Grupo de Componentes</v>
      </c>
      <c r="G131" s="25">
        <f t="shared" si="6"/>
        <v>125</v>
      </c>
      <c r="H131" s="2" t="s">
        <v>1989</v>
      </c>
      <c r="I131" s="2" t="s">
        <v>1992</v>
      </c>
      <c r="J131" s="25" t="s">
        <v>1992</v>
      </c>
    </row>
    <row r="132" spans="1:10" x14ac:dyDescent="0.25">
      <c r="A132" s="25">
        <f t="shared" si="5"/>
        <v>126</v>
      </c>
      <c r="B132" s="25">
        <v>7</v>
      </c>
      <c r="C132" s="25">
        <v>3</v>
      </c>
      <c r="D132" t="str">
        <f>VLOOKUP(C132,TB_ICO_TIPO_RECURSO_PROTEGIDO!$A$7:$I$1165,2,FALSE)</f>
        <v>Grupo de Componentes</v>
      </c>
      <c r="G132" s="25">
        <f t="shared" si="6"/>
        <v>126</v>
      </c>
      <c r="H132" s="2" t="s">
        <v>1990</v>
      </c>
      <c r="I132" s="2" t="s">
        <v>357</v>
      </c>
      <c r="J132" s="25" t="s">
        <v>357</v>
      </c>
    </row>
    <row r="133" spans="1:10" s="25" customFormat="1" x14ac:dyDescent="0.25">
      <c r="A133" s="25">
        <f t="shared" si="5"/>
        <v>127</v>
      </c>
      <c r="B133" s="25">
        <v>7</v>
      </c>
      <c r="C133" s="25">
        <v>3</v>
      </c>
      <c r="D133" t="str">
        <f>VLOOKUP(C133,TB_ICO_TIPO_RECURSO_PROTEGIDO!$A$7:$I$1165,2,FALSE)</f>
        <v>Grupo de Componentes</v>
      </c>
      <c r="G133" s="25">
        <f>G132+1</f>
        <v>127</v>
      </c>
      <c r="H133" s="2" t="s">
        <v>1991</v>
      </c>
      <c r="I133" s="2" t="s">
        <v>1993</v>
      </c>
      <c r="J133" s="25" t="s">
        <v>1993</v>
      </c>
    </row>
    <row r="134" spans="1:10" s="25" customFormat="1" x14ac:dyDescent="0.25">
      <c r="A134" s="25">
        <f t="shared" si="5"/>
        <v>128</v>
      </c>
      <c r="B134" s="25">
        <v>7</v>
      </c>
      <c r="C134" s="25">
        <v>3</v>
      </c>
      <c r="D134" t="str">
        <f>VLOOKUP(C134,TB_ICO_TIPO_RECURSO_PROTEGIDO!$A$7:$I$1165,2,FALSE)</f>
        <v>Grupo de Componentes</v>
      </c>
      <c r="G134" s="25">
        <f t="shared" ref="G134:G147" si="9">G133+1</f>
        <v>128</v>
      </c>
      <c r="H134" s="2" t="s">
        <v>2247</v>
      </c>
      <c r="I134" s="2" t="s">
        <v>2249</v>
      </c>
      <c r="J134" s="2" t="s">
        <v>2249</v>
      </c>
    </row>
    <row r="135" spans="1:10" x14ac:dyDescent="0.25">
      <c r="A135" s="25">
        <f t="shared" si="5"/>
        <v>129</v>
      </c>
      <c r="B135" s="25">
        <v>7</v>
      </c>
      <c r="C135" s="25">
        <v>3</v>
      </c>
      <c r="D135" t="str">
        <f>VLOOKUP(C135,TB_ICO_TIPO_RECURSO_PROTEGIDO!$A$7:$I$1165,2,FALSE)</f>
        <v>Grupo de Componentes</v>
      </c>
      <c r="G135" s="25">
        <f t="shared" si="9"/>
        <v>129</v>
      </c>
      <c r="H135" s="25" t="s">
        <v>2141</v>
      </c>
      <c r="I135" s="25" t="s">
        <v>2142</v>
      </c>
      <c r="J135" s="25" t="s">
        <v>2142</v>
      </c>
    </row>
    <row r="136" spans="1:10" x14ac:dyDescent="0.25">
      <c r="A136" s="25">
        <f t="shared" si="5"/>
        <v>130</v>
      </c>
      <c r="B136" s="2">
        <v>7</v>
      </c>
      <c r="C136" s="2">
        <v>5</v>
      </c>
      <c r="D136" t="str">
        <f>VLOOKUP(C136,TB_ICO_TIPO_RECURSO_PROTEGIDO!$A$7:$I$1165,2,FALSE)</f>
        <v>Item de menu</v>
      </c>
      <c r="G136" s="25">
        <f t="shared" si="9"/>
        <v>130</v>
      </c>
      <c r="H136" s="2" t="s">
        <v>2196</v>
      </c>
      <c r="I136" s="2" t="s">
        <v>2199</v>
      </c>
      <c r="J136" s="25" t="s">
        <v>2199</v>
      </c>
    </row>
    <row r="137" spans="1:10" x14ac:dyDescent="0.25">
      <c r="A137" s="25">
        <f t="shared" si="5"/>
        <v>131</v>
      </c>
      <c r="B137" s="25">
        <v>7</v>
      </c>
      <c r="C137" s="25">
        <v>3</v>
      </c>
      <c r="D137" t="str">
        <f>VLOOKUP(C137,TB_ICO_TIPO_RECURSO_PROTEGIDO!$A$7:$I$1165,2,FALSE)</f>
        <v>Grupo de Componentes</v>
      </c>
      <c r="G137" s="25">
        <f t="shared" si="9"/>
        <v>131</v>
      </c>
      <c r="H137" s="2" t="s">
        <v>2197</v>
      </c>
      <c r="I137" s="2" t="s">
        <v>2200</v>
      </c>
      <c r="J137" s="25" t="s">
        <v>2200</v>
      </c>
    </row>
    <row r="138" spans="1:10" x14ac:dyDescent="0.25">
      <c r="A138" s="25">
        <f t="shared" si="5"/>
        <v>132</v>
      </c>
      <c r="B138" s="25">
        <v>7</v>
      </c>
      <c r="C138" s="25">
        <v>3</v>
      </c>
      <c r="D138" t="str">
        <f>VLOOKUP(C138,TB_ICO_TIPO_RECURSO_PROTEGIDO!$A$7:$I$1165,2,FALSE)</f>
        <v>Grupo de Componentes</v>
      </c>
      <c r="E138" s="25"/>
      <c r="F138" s="25"/>
      <c r="G138" s="25">
        <f t="shared" si="9"/>
        <v>132</v>
      </c>
      <c r="H138" s="2" t="s">
        <v>2198</v>
      </c>
      <c r="I138" s="2" t="s">
        <v>2198</v>
      </c>
      <c r="J138" s="25" t="s">
        <v>2198</v>
      </c>
    </row>
    <row r="139" spans="1:10" x14ac:dyDescent="0.25">
      <c r="A139" s="25">
        <f t="shared" si="5"/>
        <v>133</v>
      </c>
      <c r="B139" s="25">
        <v>7</v>
      </c>
      <c r="C139" s="25">
        <v>5</v>
      </c>
      <c r="D139" t="str">
        <f>VLOOKUP(C139,TB_ICO_TIPO_RECURSO_PROTEGIDO!$A$7:$I$1165,2,FALSE)</f>
        <v>Item de menu</v>
      </c>
      <c r="G139" s="25">
        <f t="shared" si="9"/>
        <v>133</v>
      </c>
      <c r="H139" s="2" t="s">
        <v>2194</v>
      </c>
      <c r="I139" s="2" t="s">
        <v>2195</v>
      </c>
      <c r="J139" s="2" t="s">
        <v>2195</v>
      </c>
    </row>
    <row r="140" spans="1:10" x14ac:dyDescent="0.25">
      <c r="A140" s="25">
        <f t="shared" ref="A140:A147" si="10">A139+1</f>
        <v>134</v>
      </c>
      <c r="B140" s="25">
        <v>7</v>
      </c>
      <c r="C140" s="25">
        <v>3</v>
      </c>
      <c r="D140" t="str">
        <f>VLOOKUP(C140,TB_ICO_TIPO_RECURSO_PROTEGIDO!$A$7:$I$1165,2,FALSE)</f>
        <v>Grupo de Componentes</v>
      </c>
      <c r="G140" s="25">
        <f t="shared" si="9"/>
        <v>134</v>
      </c>
      <c r="H140" s="2" t="s">
        <v>2192</v>
      </c>
      <c r="I140" s="2" t="s">
        <v>2193</v>
      </c>
      <c r="J140" s="25" t="s">
        <v>2193</v>
      </c>
    </row>
    <row r="141" spans="1:10" x14ac:dyDescent="0.25">
      <c r="A141" s="25">
        <f t="shared" si="10"/>
        <v>135</v>
      </c>
      <c r="B141" s="25">
        <v>7</v>
      </c>
      <c r="C141" s="25">
        <v>3</v>
      </c>
      <c r="D141" t="str">
        <f>VLOOKUP(C141,TB_ICO_TIPO_RECURSO_PROTEGIDO!$A$7:$I$1165,2,FALSE)</f>
        <v>Grupo de Componentes</v>
      </c>
      <c r="G141" s="25">
        <f t="shared" si="9"/>
        <v>135</v>
      </c>
      <c r="H141" s="2" t="s">
        <v>2201</v>
      </c>
      <c r="I141" s="2" t="s">
        <v>2204</v>
      </c>
      <c r="J141" s="25" t="s">
        <v>2204</v>
      </c>
    </row>
    <row r="142" spans="1:10" x14ac:dyDescent="0.25">
      <c r="A142" s="25">
        <f t="shared" si="10"/>
        <v>136</v>
      </c>
      <c r="B142" s="25">
        <v>7</v>
      </c>
      <c r="C142" s="25">
        <v>3</v>
      </c>
      <c r="D142" t="str">
        <f>VLOOKUP(C142,TB_ICO_TIPO_RECURSO_PROTEGIDO!$A$7:$I$1165,2,FALSE)</f>
        <v>Grupo de Componentes</v>
      </c>
      <c r="G142" s="25">
        <f t="shared" si="9"/>
        <v>136</v>
      </c>
      <c r="H142" s="2" t="s">
        <v>2218</v>
      </c>
      <c r="I142" s="2" t="s">
        <v>2205</v>
      </c>
      <c r="J142" s="25" t="s">
        <v>2205</v>
      </c>
    </row>
    <row r="143" spans="1:10" x14ac:dyDescent="0.25">
      <c r="A143" s="25">
        <f t="shared" si="10"/>
        <v>137</v>
      </c>
      <c r="B143" s="25">
        <v>7</v>
      </c>
      <c r="C143" s="25">
        <v>3</v>
      </c>
      <c r="D143" t="str">
        <f>VLOOKUP(C143,TB_ICO_TIPO_RECURSO_PROTEGIDO!$A$7:$I$1165,2,FALSE)</f>
        <v>Grupo de Componentes</v>
      </c>
      <c r="G143" s="25">
        <f t="shared" si="9"/>
        <v>137</v>
      </c>
      <c r="H143" s="2" t="s">
        <v>2203</v>
      </c>
      <c r="I143" s="2" t="s">
        <v>2206</v>
      </c>
      <c r="J143" s="25" t="s">
        <v>2206</v>
      </c>
    </row>
    <row r="144" spans="1:10" x14ac:dyDescent="0.25">
      <c r="A144" s="25">
        <f t="shared" si="10"/>
        <v>138</v>
      </c>
      <c r="B144" s="25">
        <v>7</v>
      </c>
      <c r="C144" s="25">
        <v>3</v>
      </c>
      <c r="D144" t="str">
        <f>VLOOKUP(C144,TB_ICO_TIPO_RECURSO_PROTEGIDO!$A$7:$I$1165,2,FALSE)</f>
        <v>Grupo de Componentes</v>
      </c>
      <c r="E144" s="25"/>
      <c r="F144" s="25"/>
      <c r="G144" s="25">
        <f t="shared" si="9"/>
        <v>138</v>
      </c>
      <c r="H144" s="2" t="s">
        <v>2248</v>
      </c>
      <c r="I144" s="2" t="s">
        <v>2250</v>
      </c>
      <c r="J144" s="2" t="s">
        <v>2250</v>
      </c>
    </row>
    <row r="145" spans="1:10" x14ac:dyDescent="0.25">
      <c r="A145" s="25">
        <f t="shared" si="10"/>
        <v>139</v>
      </c>
      <c r="B145" s="25">
        <v>7</v>
      </c>
      <c r="C145" s="25">
        <v>3</v>
      </c>
      <c r="D145" t="str">
        <f>VLOOKUP(C145,TB_ICO_TIPO_RECURSO_PROTEGIDO!$A$7:$I$1165,2,FALSE)</f>
        <v>Grupo de Componentes</v>
      </c>
      <c r="E145" s="25"/>
      <c r="F145" s="25"/>
      <c r="G145" s="25">
        <f t="shared" si="9"/>
        <v>139</v>
      </c>
      <c r="H145" s="2" t="s">
        <v>2251</v>
      </c>
      <c r="I145" s="2" t="s">
        <v>2252</v>
      </c>
      <c r="J145" s="2" t="s">
        <v>2252</v>
      </c>
    </row>
    <row r="146" spans="1:10" x14ac:dyDescent="0.25">
      <c r="A146" s="25">
        <f t="shared" si="10"/>
        <v>140</v>
      </c>
      <c r="B146" s="25">
        <v>7</v>
      </c>
      <c r="C146" s="25">
        <v>3</v>
      </c>
      <c r="D146" t="str">
        <f>VLOOKUP(C146,TB_ICO_TIPO_RECURSO_PROTEGIDO!$A$7:$I$1165,2,FALSE)</f>
        <v>Grupo de Componentes</v>
      </c>
      <c r="E146" s="25"/>
      <c r="F146" s="25"/>
      <c r="G146" s="25">
        <f t="shared" si="9"/>
        <v>140</v>
      </c>
      <c r="H146" s="2" t="s">
        <v>2485</v>
      </c>
      <c r="I146" s="2" t="s">
        <v>2110</v>
      </c>
      <c r="J146" s="2" t="s">
        <v>2110</v>
      </c>
    </row>
    <row r="147" spans="1:10" x14ac:dyDescent="0.25">
      <c r="A147" s="25">
        <f t="shared" si="10"/>
        <v>141</v>
      </c>
      <c r="B147" s="25">
        <v>7</v>
      </c>
      <c r="C147" s="25">
        <v>3</v>
      </c>
      <c r="D147" t="str">
        <f>VLOOKUP(C147,TB_ICO_TIPO_RECURSO_PROTEGIDO!$A$7:$I$1165,2,FALSE)</f>
        <v>Grupo de Componentes</v>
      </c>
      <c r="E147" s="25"/>
      <c r="F147" s="25"/>
      <c r="G147" s="25">
        <f t="shared" si="9"/>
        <v>141</v>
      </c>
      <c r="H147" s="2" t="s">
        <v>2486</v>
      </c>
      <c r="I147" s="2" t="s">
        <v>2109</v>
      </c>
      <c r="J147" s="2" t="s">
        <v>2109</v>
      </c>
    </row>
  </sheetData>
  <pageMargins left="0.511811024" right="0.511811024" top="0.78740157499999996" bottom="0.78740157499999996" header="0.31496062000000002" footer="0.31496062000000002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E548"/>
  <sheetViews>
    <sheetView workbookViewId="0">
      <selection activeCell="D4" sqref="D4"/>
    </sheetView>
  </sheetViews>
  <sheetFormatPr defaultColWidth="8.85546875" defaultRowHeight="15" x14ac:dyDescent="0.25"/>
  <cols>
    <col min="1" max="1" width="27" bestFit="1" customWidth="1"/>
    <col min="2" max="2" width="27.42578125" bestFit="1" customWidth="1"/>
    <col min="3" max="3" width="26.7109375" bestFit="1" customWidth="1"/>
    <col min="4" max="4" width="26.140625" bestFit="1" customWidth="1"/>
    <col min="5" max="5" width="16.42578125" bestFit="1" customWidth="1"/>
  </cols>
  <sheetData>
    <row r="1" spans="1:5" s="2" customFormat="1" x14ac:dyDescent="0.25">
      <c r="A1" s="11" t="s">
        <v>1</v>
      </c>
      <c r="B1" s="2" t="s">
        <v>475</v>
      </c>
    </row>
    <row r="2" spans="1:5" s="2" customFormat="1" x14ac:dyDescent="0.25">
      <c r="A2" s="11" t="s">
        <v>310</v>
      </c>
    </row>
    <row r="3" spans="1:5" s="2" customFormat="1" x14ac:dyDescent="0.25">
      <c r="A3" s="11" t="s">
        <v>320</v>
      </c>
    </row>
    <row r="4" spans="1:5" s="2" customFormat="1" x14ac:dyDescent="0.25">
      <c r="A4" s="11" t="s">
        <v>311</v>
      </c>
      <c r="B4" s="2" t="s">
        <v>319</v>
      </c>
      <c r="C4" s="11" t="s">
        <v>483</v>
      </c>
    </row>
    <row r="5" spans="1:5" s="2" customFormat="1" x14ac:dyDescent="0.25"/>
    <row r="6" spans="1:5" x14ac:dyDescent="0.25">
      <c r="A6" s="1" t="s">
        <v>476</v>
      </c>
      <c r="B6" s="1" t="s">
        <v>477</v>
      </c>
      <c r="C6" s="1" t="s">
        <v>478</v>
      </c>
      <c r="D6" s="1" t="s">
        <v>479</v>
      </c>
      <c r="E6" s="1" t="s">
        <v>480</v>
      </c>
    </row>
    <row r="7" spans="1:5" x14ac:dyDescent="0.25">
      <c r="A7" s="13">
        <v>8</v>
      </c>
      <c r="B7" s="8" t="s">
        <v>481</v>
      </c>
    </row>
    <row r="8" spans="1:5" x14ac:dyDescent="0.25">
      <c r="A8" s="13"/>
      <c r="B8" s="8"/>
    </row>
    <row r="9" spans="1:5" x14ac:dyDescent="0.25">
      <c r="A9" s="13"/>
      <c r="B9" s="8"/>
    </row>
    <row r="10" spans="1:5" x14ac:dyDescent="0.25">
      <c r="A10" s="13"/>
      <c r="B10" s="8"/>
    </row>
    <row r="11" spans="1:5" x14ac:dyDescent="0.25">
      <c r="A11" s="13"/>
      <c r="B11" s="8"/>
    </row>
    <row r="12" spans="1:5" x14ac:dyDescent="0.25">
      <c r="A12" s="13"/>
      <c r="B12" s="8"/>
    </row>
    <row r="13" spans="1:5" x14ac:dyDescent="0.25">
      <c r="A13" s="13"/>
      <c r="B13" s="8"/>
    </row>
    <row r="14" spans="1:5" x14ac:dyDescent="0.25">
      <c r="A14" s="13"/>
      <c r="B14" s="8"/>
    </row>
    <row r="15" spans="1:5" x14ac:dyDescent="0.25">
      <c r="A15" s="13"/>
      <c r="B15" s="8"/>
    </row>
    <row r="16" spans="1:5" x14ac:dyDescent="0.25">
      <c r="A16" s="13"/>
      <c r="B16" s="8"/>
    </row>
    <row r="17" spans="1:2" x14ac:dyDescent="0.25">
      <c r="A17" s="13"/>
      <c r="B17" s="8"/>
    </row>
    <row r="18" spans="1:2" x14ac:dyDescent="0.25">
      <c r="A18" s="13"/>
      <c r="B18" s="8"/>
    </row>
    <row r="19" spans="1:2" x14ac:dyDescent="0.25">
      <c r="A19" s="13"/>
      <c r="B19" s="8"/>
    </row>
    <row r="20" spans="1:2" x14ac:dyDescent="0.25">
      <c r="A20" s="13"/>
      <c r="B20" s="8"/>
    </row>
    <row r="21" spans="1:2" x14ac:dyDescent="0.25">
      <c r="A21" s="13"/>
      <c r="B21" s="8"/>
    </row>
    <row r="22" spans="1:2" x14ac:dyDescent="0.25">
      <c r="A22" s="13"/>
      <c r="B22" s="8"/>
    </row>
    <row r="23" spans="1:2" x14ac:dyDescent="0.25">
      <c r="A23" s="13"/>
      <c r="B23" s="8"/>
    </row>
    <row r="24" spans="1:2" x14ac:dyDescent="0.25">
      <c r="A24" s="13"/>
      <c r="B24" s="8"/>
    </row>
    <row r="25" spans="1:2" x14ac:dyDescent="0.25">
      <c r="A25" s="13"/>
      <c r="B25" s="8"/>
    </row>
    <row r="26" spans="1:2" x14ac:dyDescent="0.25">
      <c r="A26" s="13"/>
      <c r="B26" s="8"/>
    </row>
    <row r="27" spans="1:2" x14ac:dyDescent="0.25">
      <c r="A27" s="13"/>
      <c r="B27" s="8"/>
    </row>
    <row r="28" spans="1:2" x14ac:dyDescent="0.25">
      <c r="A28" s="13"/>
      <c r="B28" s="8"/>
    </row>
    <row r="29" spans="1:2" x14ac:dyDescent="0.25">
      <c r="A29" s="13"/>
      <c r="B29" s="8"/>
    </row>
    <row r="30" spans="1:2" x14ac:dyDescent="0.25">
      <c r="A30" s="13"/>
      <c r="B30" s="8"/>
    </row>
    <row r="31" spans="1:2" x14ac:dyDescent="0.25">
      <c r="A31" s="13"/>
      <c r="B31" s="8"/>
    </row>
    <row r="32" spans="1:2" x14ac:dyDescent="0.25">
      <c r="A32" s="13"/>
      <c r="B32" s="8"/>
    </row>
    <row r="33" spans="1:2" x14ac:dyDescent="0.25">
      <c r="A33" s="13"/>
      <c r="B33" s="8"/>
    </row>
    <row r="34" spans="1:2" x14ac:dyDescent="0.25">
      <c r="A34" s="13"/>
      <c r="B34" s="8"/>
    </row>
    <row r="35" spans="1:2" x14ac:dyDescent="0.25">
      <c r="A35" s="13"/>
      <c r="B35" s="8"/>
    </row>
    <row r="36" spans="1:2" x14ac:dyDescent="0.25">
      <c r="A36" s="13"/>
      <c r="B36" s="8"/>
    </row>
    <row r="37" spans="1:2" x14ac:dyDescent="0.25">
      <c r="A37" s="13"/>
      <c r="B37" s="8"/>
    </row>
    <row r="38" spans="1:2" x14ac:dyDescent="0.25">
      <c r="A38" s="13"/>
      <c r="B38" s="8"/>
    </row>
    <row r="39" spans="1:2" x14ac:dyDescent="0.25">
      <c r="A39" s="13"/>
      <c r="B39" s="8"/>
    </row>
    <row r="40" spans="1:2" x14ac:dyDescent="0.25">
      <c r="A40" s="13"/>
      <c r="B40" s="8"/>
    </row>
    <row r="41" spans="1:2" x14ac:dyDescent="0.25">
      <c r="A41" s="13"/>
    </row>
    <row r="42" spans="1:2" x14ac:dyDescent="0.25">
      <c r="A42" s="13"/>
    </row>
    <row r="43" spans="1:2" x14ac:dyDescent="0.25">
      <c r="A43" s="13"/>
    </row>
    <row r="44" spans="1:2" x14ac:dyDescent="0.25">
      <c r="A44" s="13"/>
    </row>
    <row r="45" spans="1:2" x14ac:dyDescent="0.25">
      <c r="A45" s="13"/>
    </row>
    <row r="46" spans="1:2" x14ac:dyDescent="0.25">
      <c r="A46" s="13"/>
    </row>
    <row r="47" spans="1:2" x14ac:dyDescent="0.25">
      <c r="A47" s="13"/>
    </row>
    <row r="48" spans="1:2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  <row r="543" spans="1:1" x14ac:dyDescent="0.25">
      <c r="A543" s="13"/>
    </row>
    <row r="544" spans="1:1" x14ac:dyDescent="0.25">
      <c r="A544" s="13"/>
    </row>
    <row r="545" spans="1:1" x14ac:dyDescent="0.25">
      <c r="A545" s="13"/>
    </row>
    <row r="546" spans="1:1" x14ac:dyDescent="0.25">
      <c r="A546" s="13"/>
    </row>
    <row r="547" spans="1:1" x14ac:dyDescent="0.25">
      <c r="A547" s="13"/>
    </row>
    <row r="548" spans="1:1" x14ac:dyDescent="0.25">
      <c r="A548" s="13"/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43"/>
  <sheetViews>
    <sheetView workbookViewId="0">
      <selection activeCell="B26" sqref="B26"/>
    </sheetView>
  </sheetViews>
  <sheetFormatPr defaultColWidth="8.85546875" defaultRowHeight="15" x14ac:dyDescent="0.25"/>
  <cols>
    <col min="1" max="1" width="37.7109375" customWidth="1"/>
    <col min="2" max="2" width="38.85546875" customWidth="1"/>
    <col min="3" max="3" width="55.7109375" customWidth="1"/>
  </cols>
  <sheetData>
    <row r="1" spans="1:4" s="2" customFormat="1" x14ac:dyDescent="0.25">
      <c r="A1" s="11" t="s">
        <v>1</v>
      </c>
      <c r="B1" s="2" t="s">
        <v>350</v>
      </c>
    </row>
    <row r="2" spans="1:4" s="2" customFormat="1" x14ac:dyDescent="0.25">
      <c r="A2" s="11" t="s">
        <v>310</v>
      </c>
    </row>
    <row r="3" spans="1:4" s="2" customFormat="1" x14ac:dyDescent="0.25">
      <c r="A3" s="11" t="s">
        <v>320</v>
      </c>
    </row>
    <row r="4" spans="1:4" s="2" customFormat="1" x14ac:dyDescent="0.25">
      <c r="A4" s="11" t="s">
        <v>311</v>
      </c>
      <c r="C4" s="14" t="s">
        <v>483</v>
      </c>
      <c r="D4" s="15"/>
    </row>
    <row r="5" spans="1:4" s="2" customFormat="1" x14ac:dyDescent="0.25"/>
    <row r="6" spans="1:4" x14ac:dyDescent="0.25">
      <c r="A6" s="1" t="s">
        <v>351</v>
      </c>
      <c r="B6" s="1" t="s">
        <v>352</v>
      </c>
      <c r="C6" s="1" t="s">
        <v>509</v>
      </c>
    </row>
    <row r="7" spans="1:4" x14ac:dyDescent="0.25">
      <c r="A7" s="22" t="s">
        <v>353</v>
      </c>
      <c r="B7" s="22" t="s">
        <v>354</v>
      </c>
      <c r="C7" s="23" t="s">
        <v>510</v>
      </c>
    </row>
    <row r="8" spans="1:4" ht="30" x14ac:dyDescent="0.25">
      <c r="A8" s="22" t="s">
        <v>445</v>
      </c>
      <c r="B8" s="22" t="s">
        <v>446</v>
      </c>
      <c r="C8" s="23" t="s">
        <v>511</v>
      </c>
    </row>
    <row r="9" spans="1:4" ht="30" x14ac:dyDescent="0.25">
      <c r="A9" s="22" t="s">
        <v>447</v>
      </c>
      <c r="B9" s="22" t="s">
        <v>448</v>
      </c>
      <c r="C9" s="23" t="s">
        <v>512</v>
      </c>
    </row>
    <row r="10" spans="1:4" ht="30" x14ac:dyDescent="0.25">
      <c r="A10" s="22" t="s">
        <v>507</v>
      </c>
      <c r="B10" s="22" t="s">
        <v>508</v>
      </c>
      <c r="C10" s="23" t="s">
        <v>513</v>
      </c>
    </row>
    <row r="11" spans="1:4" x14ac:dyDescent="0.25">
      <c r="A11" s="22" t="s">
        <v>1294</v>
      </c>
      <c r="B11" s="22" t="s">
        <v>1295</v>
      </c>
      <c r="C11" s="23" t="s">
        <v>1296</v>
      </c>
    </row>
    <row r="12" spans="1:4" ht="30" x14ac:dyDescent="0.25">
      <c r="A12" s="22" t="s">
        <v>900</v>
      </c>
      <c r="B12" s="24" t="s">
        <v>905</v>
      </c>
      <c r="C12" s="23" t="s">
        <v>899</v>
      </c>
    </row>
    <row r="13" spans="1:4" x14ac:dyDescent="0.25">
      <c r="A13" s="22" t="s">
        <v>1314</v>
      </c>
      <c r="B13" s="24" t="s">
        <v>1315</v>
      </c>
      <c r="C13" s="23" t="s">
        <v>1316</v>
      </c>
    </row>
    <row r="14" spans="1:4" ht="30" x14ac:dyDescent="0.25">
      <c r="A14" s="22" t="s">
        <v>1326</v>
      </c>
      <c r="B14" s="24" t="s">
        <v>1327</v>
      </c>
      <c r="C14" s="23" t="s">
        <v>1328</v>
      </c>
    </row>
    <row r="15" spans="1:4" x14ac:dyDescent="0.25">
      <c r="A15" s="22" t="s">
        <v>1329</v>
      </c>
      <c r="B15" t="s">
        <v>1330</v>
      </c>
      <c r="C15" s="23" t="s">
        <v>1331</v>
      </c>
    </row>
    <row r="16" spans="1:4" ht="30" x14ac:dyDescent="0.25">
      <c r="A16" s="22" t="s">
        <v>1380</v>
      </c>
      <c r="B16" s="22" t="s">
        <v>1381</v>
      </c>
      <c r="C16" s="23" t="s">
        <v>1382</v>
      </c>
    </row>
    <row r="17" spans="1:3" x14ac:dyDescent="0.25">
      <c r="A17" s="22" t="s">
        <v>1368</v>
      </c>
      <c r="B17" s="22" t="s">
        <v>1369</v>
      </c>
      <c r="C17" s="23" t="s">
        <v>1370</v>
      </c>
    </row>
    <row r="18" spans="1:3" x14ac:dyDescent="0.25">
      <c r="A18" s="22" t="s">
        <v>1376</v>
      </c>
      <c r="B18" s="22" t="s">
        <v>1471</v>
      </c>
      <c r="C18" s="23" t="s">
        <v>1377</v>
      </c>
    </row>
    <row r="19" spans="1:3" x14ac:dyDescent="0.25">
      <c r="A19" s="22" t="s">
        <v>1378</v>
      </c>
      <c r="B19" s="22" t="s">
        <v>1364</v>
      </c>
      <c r="C19" s="23" t="s">
        <v>1379</v>
      </c>
    </row>
    <row r="20" spans="1:3" ht="30" x14ac:dyDescent="0.25">
      <c r="A20" s="22" t="s">
        <v>1384</v>
      </c>
      <c r="B20" s="22" t="s">
        <v>354</v>
      </c>
      <c r="C20" s="23" t="s">
        <v>1383</v>
      </c>
    </row>
    <row r="21" spans="1:3" x14ac:dyDescent="0.25">
      <c r="A21" s="22" t="s">
        <v>1385</v>
      </c>
      <c r="B21" s="29" t="s">
        <v>1391</v>
      </c>
      <c r="C21" s="23" t="s">
        <v>1386</v>
      </c>
    </row>
    <row r="22" spans="1:3" ht="30" x14ac:dyDescent="0.25">
      <c r="A22" s="22" t="s">
        <v>1466</v>
      </c>
      <c r="B22" s="22" t="s">
        <v>1467</v>
      </c>
      <c r="C22" s="23" t="s">
        <v>1468</v>
      </c>
    </row>
    <row r="23" spans="1:3" x14ac:dyDescent="0.25">
      <c r="A23" s="22" t="s">
        <v>2145</v>
      </c>
      <c r="B23" s="22" t="s">
        <v>2150</v>
      </c>
      <c r="C23" s="23" t="s">
        <v>2151</v>
      </c>
    </row>
    <row r="24" spans="1:3" x14ac:dyDescent="0.25">
      <c r="A24" s="22" t="s">
        <v>2262</v>
      </c>
      <c r="B24" s="22" t="s">
        <v>2263</v>
      </c>
      <c r="C24" s="23" t="s">
        <v>2264</v>
      </c>
    </row>
    <row r="25" spans="1:3" x14ac:dyDescent="0.25">
      <c r="A25" s="22"/>
      <c r="B25" s="22"/>
      <c r="C25" s="23"/>
    </row>
    <row r="26" spans="1:3" x14ac:dyDescent="0.25">
      <c r="A26" s="22"/>
      <c r="B26" s="22"/>
      <c r="C26" s="23"/>
    </row>
    <row r="27" spans="1:3" x14ac:dyDescent="0.25">
      <c r="A27" s="22"/>
      <c r="B27" s="22"/>
      <c r="C27" s="23"/>
    </row>
    <row r="28" spans="1:3" x14ac:dyDescent="0.25">
      <c r="A28" s="22"/>
      <c r="B28" s="22"/>
      <c r="C28" s="23"/>
    </row>
    <row r="29" spans="1:3" x14ac:dyDescent="0.25">
      <c r="A29" s="22"/>
      <c r="B29" s="22"/>
      <c r="C29" s="23"/>
    </row>
    <row r="30" spans="1:3" x14ac:dyDescent="0.25">
      <c r="A30" s="22"/>
      <c r="B30" s="22"/>
      <c r="C30" s="23"/>
    </row>
    <row r="31" spans="1:3" x14ac:dyDescent="0.25">
      <c r="A31" s="22"/>
      <c r="B31" s="22"/>
      <c r="C31" s="24"/>
    </row>
    <row r="32" spans="1:3" x14ac:dyDescent="0.25">
      <c r="A32" s="22"/>
      <c r="B32" s="22"/>
      <c r="C32" s="24"/>
    </row>
    <row r="33" spans="1:3" x14ac:dyDescent="0.25">
      <c r="A33" s="22"/>
      <c r="B33" s="22"/>
      <c r="C33" s="24"/>
    </row>
    <row r="34" spans="1:3" x14ac:dyDescent="0.25">
      <c r="A34" s="22"/>
      <c r="B34" s="22"/>
      <c r="C34" s="24"/>
    </row>
    <row r="35" spans="1:3" x14ac:dyDescent="0.25">
      <c r="A35" s="22"/>
      <c r="B35" s="22"/>
      <c r="C35" s="24"/>
    </row>
    <row r="36" spans="1:3" x14ac:dyDescent="0.25">
      <c r="A36" s="22"/>
      <c r="B36" s="22"/>
      <c r="C36" s="24"/>
    </row>
    <row r="37" spans="1:3" x14ac:dyDescent="0.25">
      <c r="A37" s="22"/>
      <c r="B37" s="22"/>
      <c r="C37" s="24"/>
    </row>
    <row r="38" spans="1:3" x14ac:dyDescent="0.25">
      <c r="A38" s="22"/>
      <c r="B38" s="22"/>
      <c r="C38" s="24"/>
    </row>
    <row r="39" spans="1:3" x14ac:dyDescent="0.25">
      <c r="A39" s="22"/>
      <c r="B39" s="22"/>
      <c r="C39" s="24"/>
    </row>
    <row r="40" spans="1:3" x14ac:dyDescent="0.25">
      <c r="A40" s="22"/>
      <c r="B40" s="22"/>
      <c r="C40" s="24"/>
    </row>
    <row r="41" spans="1:3" x14ac:dyDescent="0.25">
      <c r="A41" s="24"/>
      <c r="B41" s="24"/>
      <c r="C41" s="24"/>
    </row>
    <row r="42" spans="1:3" x14ac:dyDescent="0.25">
      <c r="A42" s="24"/>
      <c r="B42" s="24"/>
      <c r="C42" s="24"/>
    </row>
    <row r="43" spans="1:3" x14ac:dyDescent="0.25">
      <c r="A43" s="24"/>
      <c r="B43" s="24"/>
      <c r="C43" s="24"/>
    </row>
  </sheetData>
  <hyperlinks>
    <hyperlink ref="B21" r:id="rId1"/>
  </hyperlinks>
  <pageMargins left="0.511811024" right="0.511811024" top="0.78740157499999996" bottom="0.78740157499999996" header="0.31496062000000002" footer="0.31496062000000002"/>
  <pageSetup orientation="portrait" horizontalDpi="300"/>
  <ignoredErrors>
    <ignoredError sqref="B7:B10" numberStoredAsText="1"/>
  </ignoredErrors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D11"/>
  <sheetViews>
    <sheetView workbookViewId="0">
      <selection activeCell="B12" sqref="B12"/>
    </sheetView>
  </sheetViews>
  <sheetFormatPr defaultColWidth="8.85546875" defaultRowHeight="15" x14ac:dyDescent="0.25"/>
  <cols>
    <col min="1" max="1" width="27" bestFit="1" customWidth="1"/>
    <col min="2" max="2" width="27.42578125" bestFit="1" customWidth="1"/>
    <col min="3" max="3" width="26.7109375" customWidth="1"/>
  </cols>
  <sheetData>
    <row r="1" spans="1:4" s="2" customFormat="1" x14ac:dyDescent="0.25">
      <c r="A1" s="11" t="s">
        <v>1</v>
      </c>
      <c r="B1" s="2" t="s">
        <v>1112</v>
      </c>
    </row>
    <row r="2" spans="1:4" s="2" customFormat="1" x14ac:dyDescent="0.25">
      <c r="A2" s="11" t="s">
        <v>310</v>
      </c>
    </row>
    <row r="3" spans="1:4" s="2" customFormat="1" x14ac:dyDescent="0.25">
      <c r="A3" s="11" t="s">
        <v>320</v>
      </c>
    </row>
    <row r="4" spans="1:4" s="2" customFormat="1" x14ac:dyDescent="0.25">
      <c r="A4" s="11" t="s">
        <v>311</v>
      </c>
      <c r="C4" s="14" t="s">
        <v>483</v>
      </c>
      <c r="D4" s="15"/>
    </row>
    <row r="5" spans="1:4" s="2" customFormat="1" x14ac:dyDescent="0.25"/>
    <row r="6" spans="1:4" x14ac:dyDescent="0.25">
      <c r="A6" s="1" t="s">
        <v>1113</v>
      </c>
      <c r="B6" s="1" t="s">
        <v>1114</v>
      </c>
      <c r="C6" s="1" t="s">
        <v>1115</v>
      </c>
    </row>
    <row r="7" spans="1:4" x14ac:dyDescent="0.25">
      <c r="A7">
        <v>1</v>
      </c>
      <c r="B7" t="s">
        <v>1117</v>
      </c>
      <c r="C7" t="s">
        <v>1116</v>
      </c>
    </row>
    <row r="8" spans="1:4" x14ac:dyDescent="0.25">
      <c r="A8">
        <f>A7+1</f>
        <v>2</v>
      </c>
      <c r="B8" t="s">
        <v>1118</v>
      </c>
      <c r="C8" t="s">
        <v>1116</v>
      </c>
    </row>
    <row r="9" spans="1:4" x14ac:dyDescent="0.25">
      <c r="A9">
        <v>3</v>
      </c>
      <c r="B9" t="s">
        <v>1119</v>
      </c>
      <c r="C9" t="s">
        <v>1116</v>
      </c>
    </row>
    <row r="10" spans="1:4" x14ac:dyDescent="0.25">
      <c r="A10">
        <v>4</v>
      </c>
      <c r="B10" t="s">
        <v>1120</v>
      </c>
      <c r="C10" t="s">
        <v>1116</v>
      </c>
    </row>
    <row r="11" spans="1:4" x14ac:dyDescent="0.25">
      <c r="A11">
        <v>5</v>
      </c>
      <c r="B11" t="s">
        <v>1121</v>
      </c>
      <c r="C11" t="s">
        <v>1116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11"/>
  <sheetViews>
    <sheetView workbookViewId="0">
      <selection activeCell="C4" sqref="C4"/>
    </sheetView>
  </sheetViews>
  <sheetFormatPr defaultColWidth="8.85546875" defaultRowHeight="15" x14ac:dyDescent="0.25"/>
  <cols>
    <col min="1" max="1" width="25.42578125" style="2" customWidth="1"/>
    <col min="2" max="2" width="26" style="2" customWidth="1"/>
    <col min="3" max="3" width="18.140625" style="2" bestFit="1" customWidth="1"/>
    <col min="4" max="16384" width="8.85546875" style="2"/>
  </cols>
  <sheetData>
    <row r="1" spans="1:8" x14ac:dyDescent="0.25">
      <c r="A1" s="11" t="s">
        <v>1</v>
      </c>
      <c r="B1" s="2" t="s">
        <v>316</v>
      </c>
    </row>
    <row r="2" spans="1:8" x14ac:dyDescent="0.25">
      <c r="A2" s="11" t="s">
        <v>310</v>
      </c>
    </row>
    <row r="3" spans="1:8" x14ac:dyDescent="0.25">
      <c r="A3" s="11" t="s">
        <v>320</v>
      </c>
    </row>
    <row r="4" spans="1:8" x14ac:dyDescent="0.25">
      <c r="A4" s="11" t="s">
        <v>311</v>
      </c>
      <c r="C4" s="14" t="s">
        <v>483</v>
      </c>
      <c r="D4" s="15"/>
    </row>
    <row r="6" spans="1:8" x14ac:dyDescent="0.25">
      <c r="A6" s="1" t="s">
        <v>30</v>
      </c>
      <c r="B6" s="1" t="s">
        <v>31</v>
      </c>
      <c r="C6" s="3"/>
      <c r="D6" s="3"/>
      <c r="E6" s="3"/>
      <c r="F6" s="3"/>
      <c r="G6" s="3"/>
      <c r="H6" s="3"/>
    </row>
    <row r="7" spans="1:8" x14ac:dyDescent="0.25">
      <c r="A7" s="2">
        <v>1</v>
      </c>
      <c r="B7" s="2" t="s">
        <v>26</v>
      </c>
    </row>
    <row r="8" spans="1:8" x14ac:dyDescent="0.25">
      <c r="A8" s="2">
        <v>2</v>
      </c>
      <c r="B8" s="2" t="s">
        <v>27</v>
      </c>
    </row>
    <row r="9" spans="1:8" x14ac:dyDescent="0.25">
      <c r="A9" s="2">
        <v>3</v>
      </c>
      <c r="B9" s="2" t="s">
        <v>28</v>
      </c>
    </row>
    <row r="10" spans="1:8" x14ac:dyDescent="0.25">
      <c r="A10" s="2">
        <v>4</v>
      </c>
      <c r="B10" s="2" t="s">
        <v>29</v>
      </c>
    </row>
    <row r="11" spans="1:8" x14ac:dyDescent="0.25">
      <c r="A11" s="2">
        <v>5</v>
      </c>
      <c r="B11" s="2" t="s">
        <v>25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B18" sqref="B18"/>
    </sheetView>
  </sheetViews>
  <sheetFormatPr defaultColWidth="8.85546875" defaultRowHeight="15" x14ac:dyDescent="0.25"/>
  <cols>
    <col min="1" max="1" width="27" bestFit="1" customWidth="1"/>
    <col min="2" max="2" width="27.42578125" bestFit="1" customWidth="1"/>
    <col min="3" max="3" width="18.140625" bestFit="1" customWidth="1"/>
  </cols>
  <sheetData>
    <row r="1" spans="1:4" s="2" customFormat="1" x14ac:dyDescent="0.25">
      <c r="A1" s="11" t="s">
        <v>1</v>
      </c>
      <c r="B1" s="2" t="s">
        <v>317</v>
      </c>
    </row>
    <row r="2" spans="1:4" s="2" customFormat="1" x14ac:dyDescent="0.25">
      <c r="A2" s="11" t="s">
        <v>310</v>
      </c>
    </row>
    <row r="3" spans="1:4" s="2" customFormat="1" x14ac:dyDescent="0.25">
      <c r="A3" s="11" t="s">
        <v>320</v>
      </c>
    </row>
    <row r="4" spans="1:4" s="2" customFormat="1" x14ac:dyDescent="0.25">
      <c r="A4" s="11" t="s">
        <v>311</v>
      </c>
      <c r="C4" s="14" t="s">
        <v>483</v>
      </c>
      <c r="D4" s="15"/>
    </row>
    <row r="5" spans="1:4" s="2" customFormat="1" x14ac:dyDescent="0.25"/>
    <row r="6" spans="1:4" x14ac:dyDescent="0.25">
      <c r="A6" s="1" t="s">
        <v>132</v>
      </c>
      <c r="B6" s="1" t="s">
        <v>217</v>
      </c>
    </row>
    <row r="7" spans="1:4" x14ac:dyDescent="0.25">
      <c r="A7">
        <v>1</v>
      </c>
      <c r="B7" t="s">
        <v>12</v>
      </c>
    </row>
    <row r="8" spans="1:4" x14ac:dyDescent="0.25">
      <c r="A8">
        <v>2</v>
      </c>
      <c r="B8" t="s">
        <v>13</v>
      </c>
    </row>
    <row r="9" spans="1:4" x14ac:dyDescent="0.25">
      <c r="A9">
        <v>3</v>
      </c>
      <c r="B9" t="s">
        <v>14</v>
      </c>
    </row>
    <row r="10" spans="1:4" x14ac:dyDescent="0.25">
      <c r="A10">
        <v>4</v>
      </c>
      <c r="B10" t="s">
        <v>15</v>
      </c>
    </row>
    <row r="11" spans="1:4" x14ac:dyDescent="0.25">
      <c r="A11">
        <v>5</v>
      </c>
      <c r="B11" t="s">
        <v>16</v>
      </c>
    </row>
    <row r="12" spans="1:4" x14ac:dyDescent="0.25">
      <c r="A12">
        <v>6</v>
      </c>
      <c r="B12" t="s">
        <v>17</v>
      </c>
    </row>
    <row r="13" spans="1:4" x14ac:dyDescent="0.25">
      <c r="A13">
        <v>7</v>
      </c>
      <c r="B13" t="s">
        <v>18</v>
      </c>
    </row>
    <row r="14" spans="1:4" x14ac:dyDescent="0.25">
      <c r="A14">
        <v>8</v>
      </c>
      <c r="B14" t="s">
        <v>159</v>
      </c>
    </row>
    <row r="15" spans="1:4" x14ac:dyDescent="0.25">
      <c r="A15">
        <v>9</v>
      </c>
      <c r="B15" t="s">
        <v>234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I276"/>
  <sheetViews>
    <sheetView tabSelected="1" zoomScale="80" zoomScaleNormal="80" zoomScalePageLayoutView="80" workbookViewId="0">
      <pane ySplit="6" topLeftCell="A257" activePane="bottomLeft" state="frozen"/>
      <selection pane="bottomLeft" activeCell="E277" sqref="E277"/>
    </sheetView>
  </sheetViews>
  <sheetFormatPr defaultColWidth="8.85546875" defaultRowHeight="15" x14ac:dyDescent="0.25"/>
  <cols>
    <col min="1" max="1" width="18.42578125" style="2" customWidth="1"/>
    <col min="2" max="2" width="20.140625" style="2" bestFit="1" customWidth="1"/>
    <col min="3" max="3" width="20.140625" style="2" customWidth="1"/>
    <col min="4" max="4" width="40.7109375" style="2" customWidth="1"/>
    <col min="5" max="5" width="47.7109375" style="2" customWidth="1"/>
    <col min="6" max="6" width="41.140625" style="4" customWidth="1"/>
    <col min="7" max="7" width="84.42578125" style="18" customWidth="1"/>
    <col min="8" max="16384" width="8.85546875" style="2"/>
  </cols>
  <sheetData>
    <row r="1" spans="1:9" ht="15" customHeight="1" x14ac:dyDescent="0.25">
      <c r="A1" s="11" t="s">
        <v>1</v>
      </c>
      <c r="B1" s="2" t="s">
        <v>318</v>
      </c>
      <c r="E1" s="25"/>
    </row>
    <row r="2" spans="1:9" ht="15" customHeight="1" x14ac:dyDescent="0.25">
      <c r="A2" s="11" t="s">
        <v>310</v>
      </c>
      <c r="B2" s="2" t="s">
        <v>321</v>
      </c>
      <c r="E2" s="25"/>
    </row>
    <row r="3" spans="1:9" ht="15" customHeight="1" x14ac:dyDescent="0.25">
      <c r="A3" s="11" t="s">
        <v>320</v>
      </c>
      <c r="B3" s="2">
        <f>MAX(A7:A1972)+1</f>
        <v>271</v>
      </c>
      <c r="E3" s="25"/>
    </row>
    <row r="4" spans="1:9" x14ac:dyDescent="0.25">
      <c r="A4" s="11" t="s">
        <v>311</v>
      </c>
      <c r="C4" s="11" t="s">
        <v>483</v>
      </c>
    </row>
    <row r="6" spans="1:9" x14ac:dyDescent="0.25">
      <c r="A6" s="1" t="s">
        <v>128</v>
      </c>
      <c r="B6" s="1" t="s">
        <v>30</v>
      </c>
      <c r="C6" s="1" t="s">
        <v>274</v>
      </c>
      <c r="D6" s="1" t="s">
        <v>497</v>
      </c>
      <c r="E6" s="1" t="s">
        <v>22</v>
      </c>
      <c r="F6" s="16" t="s">
        <v>129</v>
      </c>
      <c r="G6" s="19" t="s">
        <v>130</v>
      </c>
      <c r="H6" s="19" t="s">
        <v>2368</v>
      </c>
      <c r="I6" s="19" t="s">
        <v>2466</v>
      </c>
    </row>
    <row r="7" spans="1:9" x14ac:dyDescent="0.25">
      <c r="A7" s="2">
        <v>1</v>
      </c>
      <c r="B7" s="5">
        <v>2</v>
      </c>
      <c r="C7" s="5" t="str">
        <f>VLOOKUP(B7,TB_FNX_TIPO_MENSAGEM!$A$7:$B$28,2,FALSE)</f>
        <v>Erro</v>
      </c>
      <c r="D7" s="5"/>
      <c r="E7" s="2" t="s">
        <v>32</v>
      </c>
      <c r="F7" s="4" t="s">
        <v>33</v>
      </c>
      <c r="G7" s="18" t="s">
        <v>34</v>
      </c>
      <c r="H7" s="25" t="str">
        <f>CONCATENATE("#{msg['msg.",$E7,"']}")</f>
        <v>#{msg['msg.LOGIN_JA_CADASTRADO']}</v>
      </c>
      <c r="I7" s="25" t="str">
        <f>CONCATENATE("msg.",$E7)</f>
        <v>msg.LOGIN_JA_CADASTRADO</v>
      </c>
    </row>
    <row r="8" spans="1:9" x14ac:dyDescent="0.25">
      <c r="A8" s="2">
        <f>A7+1</f>
        <v>2</v>
      </c>
      <c r="B8" s="5">
        <v>2</v>
      </c>
      <c r="C8" s="5" t="str">
        <f>VLOOKUP(B8,TB_FNX_TIPO_MENSAGEM!$A$7:$B$28,2,FALSE)</f>
        <v>Erro</v>
      </c>
      <c r="D8" s="5"/>
      <c r="E8" s="2" t="s">
        <v>35</v>
      </c>
      <c r="F8" s="4" t="s">
        <v>36</v>
      </c>
      <c r="G8" s="18" t="s">
        <v>37</v>
      </c>
      <c r="H8" s="25" t="str">
        <f t="shared" ref="H8:H71" si="0">CONCATENATE("#{msg['msg.",$E8,"']}")</f>
        <v>#{msg['msg.EMAIL_JA_CADASTRADO']}</v>
      </c>
      <c r="I8" s="25" t="str">
        <f t="shared" ref="I8:I71" si="1">CONCATENATE("msg.",$E8)</f>
        <v>msg.EMAIL_JA_CADASTRADO</v>
      </c>
    </row>
    <row r="9" spans="1:9" ht="30" x14ac:dyDescent="0.25">
      <c r="A9" s="25">
        <f t="shared" ref="A9:A72" si="2">A8+1</f>
        <v>3</v>
      </c>
      <c r="B9" s="5">
        <v>2</v>
      </c>
      <c r="C9" s="5" t="str">
        <f>VLOOKUP(B9,TB_FNX_TIPO_MENSAGEM!$A$7:$B$28,2,FALSE)</f>
        <v>Erro</v>
      </c>
      <c r="D9" s="5"/>
      <c r="E9" s="2" t="s">
        <v>38</v>
      </c>
      <c r="F9" s="4" t="s">
        <v>39</v>
      </c>
      <c r="G9" s="18" t="s">
        <v>40</v>
      </c>
      <c r="H9" s="25" t="str">
        <f t="shared" si="0"/>
        <v>#{msg['msg.SENHA_INVALIDA']}</v>
      </c>
      <c r="I9" s="25" t="str">
        <f t="shared" si="1"/>
        <v>msg.SENHA_INVALIDA</v>
      </c>
    </row>
    <row r="10" spans="1:9" x14ac:dyDescent="0.25">
      <c r="A10" s="25">
        <f t="shared" si="2"/>
        <v>4</v>
      </c>
      <c r="B10" s="5">
        <v>2</v>
      </c>
      <c r="C10" s="5" t="str">
        <f>VLOOKUP(B10,TB_FNX_TIPO_MENSAGEM!$A$7:$B$28,2,FALSE)</f>
        <v>Erro</v>
      </c>
      <c r="D10" s="5"/>
      <c r="E10" s="2" t="s">
        <v>41</v>
      </c>
      <c r="F10" s="4" t="s">
        <v>42</v>
      </c>
      <c r="G10" s="18" t="s">
        <v>43</v>
      </c>
      <c r="H10" s="25" t="str">
        <f t="shared" si="0"/>
        <v>#{msg['msg.SENHA_EXPIRADA']}</v>
      </c>
      <c r="I10" s="25" t="str">
        <f t="shared" si="1"/>
        <v>msg.SENHA_EXPIRADA</v>
      </c>
    </row>
    <row r="11" spans="1:9" x14ac:dyDescent="0.25">
      <c r="A11" s="25">
        <f t="shared" si="2"/>
        <v>5</v>
      </c>
      <c r="B11" s="5">
        <v>1</v>
      </c>
      <c r="C11" s="5" t="str">
        <f>VLOOKUP(B11,TB_FNX_TIPO_MENSAGEM!$A$7:$B$28,2,FALSE)</f>
        <v>Informação</v>
      </c>
      <c r="D11" s="5"/>
      <c r="E11" s="2" t="s">
        <v>44</v>
      </c>
      <c r="F11" s="4" t="s">
        <v>45</v>
      </c>
      <c r="H11" s="25" t="str">
        <f t="shared" si="0"/>
        <v>#{msg['msg.TITULAR_DEFINIDO']}</v>
      </c>
      <c r="I11" s="25" t="str">
        <f t="shared" si="1"/>
        <v>msg.TITULAR_DEFINIDO</v>
      </c>
    </row>
    <row r="12" spans="1:9" x14ac:dyDescent="0.25">
      <c r="A12" s="25">
        <f t="shared" si="2"/>
        <v>6</v>
      </c>
      <c r="B12" s="5">
        <v>2</v>
      </c>
      <c r="C12" s="5" t="str">
        <f>VLOOKUP(B12,TB_FNX_TIPO_MENSAGEM!$A$7:$B$28,2,FALSE)</f>
        <v>Erro</v>
      </c>
      <c r="D12" s="5"/>
      <c r="E12" s="2" t="s">
        <v>46</v>
      </c>
      <c r="F12" s="4" t="s">
        <v>47</v>
      </c>
      <c r="G12" s="18" t="s">
        <v>48</v>
      </c>
      <c r="H12" s="25" t="str">
        <f t="shared" si="0"/>
        <v>#{msg['msg.USUARIO_BLOQUEADO']}</v>
      </c>
      <c r="I12" s="25" t="str">
        <f t="shared" si="1"/>
        <v>msg.USUARIO_BLOQUEADO</v>
      </c>
    </row>
    <row r="13" spans="1:9" x14ac:dyDescent="0.25">
      <c r="A13" s="25">
        <f t="shared" si="2"/>
        <v>7</v>
      </c>
      <c r="B13" s="5">
        <v>2</v>
      </c>
      <c r="C13" s="5" t="str">
        <f>VLOOKUP(B13,TB_FNX_TIPO_MENSAGEM!$A$7:$B$28,2,FALSE)</f>
        <v>Erro</v>
      </c>
      <c r="D13" s="5"/>
      <c r="E13" s="2" t="s">
        <v>49</v>
      </c>
      <c r="F13" s="4" t="s">
        <v>50</v>
      </c>
      <c r="G13" s="18" t="s">
        <v>51</v>
      </c>
      <c r="H13" s="25" t="str">
        <f t="shared" si="0"/>
        <v>#{msg['msg.USUARIO_INVALIDO']}</v>
      </c>
      <c r="I13" s="25" t="str">
        <f t="shared" si="1"/>
        <v>msg.USUARIO_INVALIDO</v>
      </c>
    </row>
    <row r="14" spans="1:9" x14ac:dyDescent="0.25">
      <c r="A14" s="25">
        <f t="shared" si="2"/>
        <v>8</v>
      </c>
      <c r="B14" s="5">
        <v>1</v>
      </c>
      <c r="C14" s="5" t="str">
        <f>VLOOKUP(B14,TB_FNX_TIPO_MENSAGEM!$A$7:$B$28,2,FALSE)</f>
        <v>Informação</v>
      </c>
      <c r="D14" s="5"/>
      <c r="E14" s="2" t="s">
        <v>52</v>
      </c>
      <c r="F14" s="4" t="s">
        <v>53</v>
      </c>
      <c r="H14" s="25" t="str">
        <f t="shared" si="0"/>
        <v>#{msg['msg.EQUIPE_IMPORTADA']}</v>
      </c>
      <c r="I14" s="25" t="str">
        <f t="shared" si="1"/>
        <v>msg.EQUIPE_IMPORTADA</v>
      </c>
    </row>
    <row r="15" spans="1:9" x14ac:dyDescent="0.25">
      <c r="A15" s="25">
        <f t="shared" si="2"/>
        <v>9</v>
      </c>
      <c r="B15" s="5">
        <v>1</v>
      </c>
      <c r="C15" s="5" t="str">
        <f>VLOOKUP(B15,TB_FNX_TIPO_MENSAGEM!$A$7:$B$28,2,FALSE)</f>
        <v>Informação</v>
      </c>
      <c r="D15" s="5"/>
      <c r="E15" s="2" t="s">
        <v>54</v>
      </c>
      <c r="F15" s="4" t="s">
        <v>55</v>
      </c>
      <c r="H15" s="25" t="str">
        <f t="shared" si="0"/>
        <v>#{msg['msg.EXCLUIR_EQUIPE']}</v>
      </c>
      <c r="I15" s="25" t="str">
        <f t="shared" si="1"/>
        <v>msg.EXCLUIR_EQUIPE</v>
      </c>
    </row>
    <row r="16" spans="1:9" ht="30" x14ac:dyDescent="0.25">
      <c r="A16" s="25">
        <f t="shared" si="2"/>
        <v>10</v>
      </c>
      <c r="B16" s="2">
        <v>2</v>
      </c>
      <c r="C16" s="5" t="str">
        <f>VLOOKUP(B16,TB_FNX_TIPO_MENSAGEM!$A$7:$B$28,2,FALSE)</f>
        <v>Erro</v>
      </c>
      <c r="D16" s="5"/>
      <c r="E16" s="2" t="s">
        <v>56</v>
      </c>
      <c r="F16" s="4" t="s">
        <v>57</v>
      </c>
      <c r="G16" s="18" t="s">
        <v>58</v>
      </c>
      <c r="H16" s="25" t="str">
        <f t="shared" si="0"/>
        <v>#{msg['msg.REPETICAO_INCORRETA']}</v>
      </c>
      <c r="I16" s="25" t="str">
        <f t="shared" si="1"/>
        <v>msg.REPETICAO_INCORRETA</v>
      </c>
    </row>
    <row r="17" spans="1:9" ht="30" x14ac:dyDescent="0.25">
      <c r="A17" s="25">
        <f t="shared" si="2"/>
        <v>11</v>
      </c>
      <c r="B17" s="4">
        <v>2</v>
      </c>
      <c r="C17" s="5" t="str">
        <f>VLOOKUP(B17,TB_FNX_TIPO_MENSAGEM!$A$7:$B$28,2,FALSE)</f>
        <v>Erro</v>
      </c>
      <c r="D17" s="5"/>
      <c r="E17" s="2" t="s">
        <v>59</v>
      </c>
      <c r="F17" s="4" t="s">
        <v>60</v>
      </c>
      <c r="G17" s="18" t="s">
        <v>61</v>
      </c>
      <c r="H17" s="25" t="str">
        <f t="shared" si="0"/>
        <v>#{msg['msg.USUARIO_SEM_PERMISSAO']}</v>
      </c>
      <c r="I17" s="25" t="str">
        <f t="shared" si="1"/>
        <v>msg.USUARIO_SEM_PERMISSAO</v>
      </c>
    </row>
    <row r="18" spans="1:9" x14ac:dyDescent="0.25">
      <c r="A18" s="25">
        <f t="shared" si="2"/>
        <v>12</v>
      </c>
      <c r="B18" s="2">
        <v>2</v>
      </c>
      <c r="C18" s="5" t="str">
        <f>VLOOKUP(B18,TB_FNX_TIPO_MENSAGEM!$A$7:$B$28,2,FALSE)</f>
        <v>Erro</v>
      </c>
      <c r="D18" s="5"/>
      <c r="E18" s="2" t="s">
        <v>62</v>
      </c>
      <c r="F18" s="4" t="s">
        <v>63</v>
      </c>
      <c r="G18" s="18" t="s">
        <v>64</v>
      </c>
      <c r="H18" s="25" t="str">
        <f t="shared" si="0"/>
        <v>#{msg['msg.EMAIL_NAO_CADASTRADO']}</v>
      </c>
      <c r="I18" s="25" t="str">
        <f t="shared" si="1"/>
        <v>msg.EMAIL_NAO_CADASTRADO</v>
      </c>
    </row>
    <row r="19" spans="1:9" ht="30" x14ac:dyDescent="0.25">
      <c r="A19" s="25">
        <f t="shared" si="2"/>
        <v>13</v>
      </c>
      <c r="B19" s="2">
        <v>2</v>
      </c>
      <c r="C19" s="5" t="str">
        <f>VLOOKUP(B19,TB_FNX_TIPO_MENSAGEM!$A$7:$B$28,2,FALSE)</f>
        <v>Erro</v>
      </c>
      <c r="D19" s="5"/>
      <c r="E19" s="2" t="s">
        <v>65</v>
      </c>
      <c r="F19" s="4" t="s">
        <v>66</v>
      </c>
      <c r="G19" s="18" t="s">
        <v>67</v>
      </c>
      <c r="H19" s="25" t="str">
        <f t="shared" si="0"/>
        <v>#{msg['msg.EQUIPE_NAO_DEFINIDA']}</v>
      </c>
      <c r="I19" s="25" t="str">
        <f t="shared" si="1"/>
        <v>msg.EQUIPE_NAO_DEFINIDA</v>
      </c>
    </row>
    <row r="20" spans="1:9" x14ac:dyDescent="0.25">
      <c r="A20" s="25">
        <f t="shared" si="2"/>
        <v>14</v>
      </c>
      <c r="B20" s="2">
        <v>5</v>
      </c>
      <c r="C20" s="5" t="str">
        <f>VLOOKUP(B20,TB_FNX_TIPO_MENSAGEM!$A$7:$B$28,2,FALSE)</f>
        <v>Confirmação</v>
      </c>
      <c r="D20" s="5"/>
      <c r="E20" s="25" t="s">
        <v>68</v>
      </c>
      <c r="F20" s="4" t="s">
        <v>69</v>
      </c>
      <c r="H20" s="25" t="str">
        <f t="shared" si="0"/>
        <v>#{msg['msg.EXCLUIR_USUARIO_EQUIPE']}</v>
      </c>
      <c r="I20" s="25" t="str">
        <f t="shared" si="1"/>
        <v>msg.EXCLUIR_USUARIO_EQUIPE</v>
      </c>
    </row>
    <row r="21" spans="1:9" x14ac:dyDescent="0.25">
      <c r="A21" s="25">
        <f t="shared" si="2"/>
        <v>15</v>
      </c>
      <c r="B21" s="2">
        <v>2</v>
      </c>
      <c r="C21" s="5" t="str">
        <f>VLOOKUP(B21,TB_FNX_TIPO_MENSAGEM!$A$7:$B$28,2,FALSE)</f>
        <v>Erro</v>
      </c>
      <c r="D21" s="5"/>
      <c r="E21" s="2" t="s">
        <v>70</v>
      </c>
      <c r="F21" s="4" t="s">
        <v>71</v>
      </c>
      <c r="G21" s="18" t="s">
        <v>72</v>
      </c>
      <c r="H21" s="25" t="str">
        <f t="shared" si="0"/>
        <v>#{msg['msg.EQUIPE_SEM_RESPONSAVEL']}</v>
      </c>
      <c r="I21" s="25" t="str">
        <f t="shared" si="1"/>
        <v>msg.EQUIPE_SEM_RESPONSAVEL</v>
      </c>
    </row>
    <row r="22" spans="1:9" ht="30" x14ac:dyDescent="0.25">
      <c r="A22" s="25">
        <f t="shared" si="2"/>
        <v>16</v>
      </c>
      <c r="B22" s="2">
        <v>2</v>
      </c>
      <c r="C22" s="5" t="str">
        <f>VLOOKUP(B22,TB_FNX_TIPO_MENSAGEM!$A$7:$B$28,2,FALSE)</f>
        <v>Erro</v>
      </c>
      <c r="D22" s="5"/>
      <c r="E22" s="25" t="s">
        <v>73</v>
      </c>
      <c r="F22" s="4" t="s">
        <v>74</v>
      </c>
      <c r="G22" s="18" t="s">
        <v>75</v>
      </c>
      <c r="H22" s="25" t="str">
        <f t="shared" si="0"/>
        <v>#{msg['msg.AUTENTICACAO_INVALIDA']}</v>
      </c>
      <c r="I22" s="25" t="str">
        <f t="shared" si="1"/>
        <v>msg.AUTENTICACAO_INVALIDA</v>
      </c>
    </row>
    <row r="23" spans="1:9" ht="30" x14ac:dyDescent="0.25">
      <c r="A23" s="25">
        <f t="shared" si="2"/>
        <v>17</v>
      </c>
      <c r="B23" s="2">
        <v>2</v>
      </c>
      <c r="C23" s="5" t="str">
        <f>VLOOKUP(B23,TB_FNX_TIPO_MENSAGEM!$A$7:$B$28,2,FALSE)</f>
        <v>Erro</v>
      </c>
      <c r="D23" s="5"/>
      <c r="E23" s="25" t="s">
        <v>76</v>
      </c>
      <c r="F23" s="4" t="s">
        <v>77</v>
      </c>
      <c r="G23" s="18" t="s">
        <v>78</v>
      </c>
      <c r="H23" s="25" t="str">
        <f t="shared" si="0"/>
        <v>#{msg['msg.USUARIO_INATIVO']}</v>
      </c>
      <c r="I23" s="25" t="str">
        <f t="shared" si="1"/>
        <v>msg.USUARIO_INATIVO</v>
      </c>
    </row>
    <row r="24" spans="1:9" x14ac:dyDescent="0.25">
      <c r="A24" s="25">
        <f t="shared" si="2"/>
        <v>18</v>
      </c>
      <c r="B24" s="2">
        <v>5</v>
      </c>
      <c r="C24" s="5" t="str">
        <f>VLOOKUP(B24,TB_FNX_TIPO_MENSAGEM!$A$7:$B$28,2,FALSE)</f>
        <v>Confirmação</v>
      </c>
      <c r="D24" s="5"/>
      <c r="E24" s="2" t="s">
        <v>79</v>
      </c>
      <c r="F24" s="4" t="s">
        <v>80</v>
      </c>
      <c r="H24" s="25" t="str">
        <f t="shared" si="0"/>
        <v>#{msg['msg.PROPAGAR_HIERARQUIA']}</v>
      </c>
      <c r="I24" s="25" t="str">
        <f t="shared" si="1"/>
        <v>msg.PROPAGAR_HIERARQUIA</v>
      </c>
    </row>
    <row r="25" spans="1:9" x14ac:dyDescent="0.25">
      <c r="A25" s="25">
        <f t="shared" si="2"/>
        <v>19</v>
      </c>
      <c r="B25" s="2">
        <v>2</v>
      </c>
      <c r="C25" s="5" t="str">
        <f>VLOOKUP(B25,TB_FNX_TIPO_MENSAGEM!$A$7:$B$28,2,FALSE)</f>
        <v>Erro</v>
      </c>
      <c r="D25" s="5"/>
      <c r="E25" s="2" t="s">
        <v>81</v>
      </c>
      <c r="F25" s="4" t="s">
        <v>82</v>
      </c>
      <c r="G25" s="18" t="s">
        <v>83</v>
      </c>
      <c r="H25" s="25" t="str">
        <f t="shared" si="0"/>
        <v>#{msg['msg.TITULAR_NAO_DEFINIDO']}</v>
      </c>
      <c r="I25" s="25" t="str">
        <f t="shared" si="1"/>
        <v>msg.TITULAR_NAO_DEFINIDO</v>
      </c>
    </row>
    <row r="26" spans="1:9" x14ac:dyDescent="0.25">
      <c r="A26" s="25">
        <f t="shared" si="2"/>
        <v>20</v>
      </c>
      <c r="B26" s="2">
        <v>2</v>
      </c>
      <c r="C26" s="5" t="str">
        <f>VLOOKUP(B26,TB_FNX_TIPO_MENSAGEM!$A$7:$B$28,2,FALSE)</f>
        <v>Erro</v>
      </c>
      <c r="D26" s="5"/>
      <c r="E26" s="2" t="s">
        <v>84</v>
      </c>
      <c r="F26" s="4" t="s">
        <v>85</v>
      </c>
      <c r="G26" s="18" t="s">
        <v>86</v>
      </c>
      <c r="H26" s="25" t="str">
        <f t="shared" si="0"/>
        <v>#{msg['msg.AUTENTICACAO_FALHA']}</v>
      </c>
      <c r="I26" s="25" t="str">
        <f t="shared" si="1"/>
        <v>msg.AUTENTICACAO_FALHA</v>
      </c>
    </row>
    <row r="27" spans="1:9" x14ac:dyDescent="0.25">
      <c r="A27" s="25">
        <f t="shared" si="2"/>
        <v>21</v>
      </c>
      <c r="B27" s="2">
        <v>2</v>
      </c>
      <c r="C27" s="5" t="str">
        <f>VLOOKUP(B27,TB_FNX_TIPO_MENSAGEM!$A$7:$B$28,2,FALSE)</f>
        <v>Erro</v>
      </c>
      <c r="D27" s="5"/>
      <c r="E27" s="2" t="s">
        <v>87</v>
      </c>
      <c r="F27" s="4" t="s">
        <v>88</v>
      </c>
      <c r="G27" s="18" t="s">
        <v>89</v>
      </c>
      <c r="H27" s="25" t="str">
        <f t="shared" si="0"/>
        <v>#{msg['msg.USUARIO_SEM_PERFIL']}</v>
      </c>
      <c r="I27" s="25" t="str">
        <f t="shared" si="1"/>
        <v>msg.USUARIO_SEM_PERFIL</v>
      </c>
    </row>
    <row r="28" spans="1:9" x14ac:dyDescent="0.25">
      <c r="A28" s="25">
        <f t="shared" si="2"/>
        <v>22</v>
      </c>
      <c r="B28" s="2">
        <v>1</v>
      </c>
      <c r="C28" s="5" t="str">
        <f>VLOOKUP(B28,TB_FNX_TIPO_MENSAGEM!$A$7:$B$28,2,FALSE)</f>
        <v>Informação</v>
      </c>
      <c r="D28" s="5"/>
      <c r="E28" s="2" t="s">
        <v>90</v>
      </c>
      <c r="F28" s="4" t="s">
        <v>91</v>
      </c>
      <c r="G28" s="18" t="s">
        <v>92</v>
      </c>
      <c r="H28" s="25" t="str">
        <f t="shared" si="0"/>
        <v>#{msg['msg.SESSAO_EXPIRADA']}</v>
      </c>
      <c r="I28" s="25" t="str">
        <f t="shared" si="1"/>
        <v>msg.SESSAO_EXPIRADA</v>
      </c>
    </row>
    <row r="29" spans="1:9" x14ac:dyDescent="0.25">
      <c r="A29" s="25">
        <f t="shared" si="2"/>
        <v>23</v>
      </c>
      <c r="B29" s="2">
        <v>1</v>
      </c>
      <c r="C29" s="5" t="str">
        <f>VLOOKUP(B29,TB_FNX_TIPO_MENSAGEM!$A$7:$B$28,2,FALSE)</f>
        <v>Informação</v>
      </c>
      <c r="D29" s="5"/>
      <c r="E29" s="2" t="s">
        <v>93</v>
      </c>
      <c r="F29" s="4" t="s">
        <v>94</v>
      </c>
      <c r="H29" s="25" t="str">
        <f t="shared" si="0"/>
        <v>#{msg['msg.AUTENTICACAO_REALIZADA']}</v>
      </c>
      <c r="I29" s="25" t="str">
        <f t="shared" si="1"/>
        <v>msg.AUTENTICACAO_REALIZADA</v>
      </c>
    </row>
    <row r="30" spans="1:9" x14ac:dyDescent="0.25">
      <c r="A30" s="25">
        <f t="shared" si="2"/>
        <v>24</v>
      </c>
      <c r="B30" s="2">
        <v>5</v>
      </c>
      <c r="C30" s="5" t="str">
        <f>VLOOKUP(B30,TB_FNX_TIPO_MENSAGEM!$A$7:$B$28,2,FALSE)</f>
        <v>Confirmação</v>
      </c>
      <c r="D30" s="5"/>
      <c r="E30" s="2" t="s">
        <v>95</v>
      </c>
      <c r="F30" s="4" t="s">
        <v>96</v>
      </c>
      <c r="H30" s="25" t="str">
        <f t="shared" si="0"/>
        <v>#{msg['msg.CONFIRMA_GRAVAR']}</v>
      </c>
      <c r="I30" s="25" t="str">
        <f t="shared" si="1"/>
        <v>msg.CONFIRMA_GRAVAR</v>
      </c>
    </row>
    <row r="31" spans="1:9" ht="30" x14ac:dyDescent="0.25">
      <c r="A31" s="25">
        <f t="shared" si="2"/>
        <v>25</v>
      </c>
      <c r="B31" s="2">
        <v>2</v>
      </c>
      <c r="C31" s="5" t="str">
        <f>VLOOKUP(B31,TB_FNX_TIPO_MENSAGEM!$A$7:$B$28,2,FALSE)</f>
        <v>Erro</v>
      </c>
      <c r="D31" s="5"/>
      <c r="E31" s="2" t="s">
        <v>97</v>
      </c>
      <c r="F31" s="4" t="s">
        <v>98</v>
      </c>
      <c r="G31" s="18" t="s">
        <v>99</v>
      </c>
      <c r="H31" s="25" t="str">
        <f t="shared" si="0"/>
        <v>#{msg['msg.PROJETO_COM_ACESSO_NEGADO']}</v>
      </c>
      <c r="I31" s="25" t="str">
        <f t="shared" si="1"/>
        <v>msg.PROJETO_COM_ACESSO_NEGADO</v>
      </c>
    </row>
    <row r="32" spans="1:9" x14ac:dyDescent="0.25">
      <c r="A32" s="25">
        <f t="shared" si="2"/>
        <v>26</v>
      </c>
      <c r="B32" s="2">
        <v>1</v>
      </c>
      <c r="C32" s="5" t="str">
        <f>VLOOKUP(B32,TB_FNX_TIPO_MENSAGEM!$A$7:$B$28,2,FALSE)</f>
        <v>Informação</v>
      </c>
      <c r="D32" s="5"/>
      <c r="E32" s="2" t="s">
        <v>100</v>
      </c>
      <c r="F32" s="4" t="s">
        <v>101</v>
      </c>
      <c r="H32" s="25" t="str">
        <f t="shared" si="0"/>
        <v>#{msg['msg.CADASTRO_REALIZADO']}</v>
      </c>
      <c r="I32" s="25" t="str">
        <f t="shared" si="1"/>
        <v>msg.CADASTRO_REALIZADO</v>
      </c>
    </row>
    <row r="33" spans="1:9" x14ac:dyDescent="0.25">
      <c r="A33" s="25">
        <f t="shared" si="2"/>
        <v>27</v>
      </c>
      <c r="B33" s="2">
        <v>1</v>
      </c>
      <c r="C33" s="5" t="str">
        <f>VLOOKUP(B33,TB_FNX_TIPO_MENSAGEM!$A$7:$B$28,2,FALSE)</f>
        <v>Informação</v>
      </c>
      <c r="D33" s="5"/>
      <c r="E33" s="2" t="s">
        <v>102</v>
      </c>
      <c r="F33" s="4" t="s">
        <v>103</v>
      </c>
      <c r="H33" s="25" t="str">
        <f t="shared" si="0"/>
        <v>#{msg['msg.ALTERACAO_REALIZADA']}</v>
      </c>
      <c r="I33" s="25" t="str">
        <f t="shared" si="1"/>
        <v>msg.ALTERACAO_REALIZADA</v>
      </c>
    </row>
    <row r="34" spans="1:9" x14ac:dyDescent="0.25">
      <c r="A34" s="25">
        <f t="shared" si="2"/>
        <v>28</v>
      </c>
      <c r="B34" s="2">
        <v>1</v>
      </c>
      <c r="C34" s="5" t="str">
        <f>VLOOKUP(B34,TB_FNX_TIPO_MENSAGEM!$A$7:$B$28,2,FALSE)</f>
        <v>Informação</v>
      </c>
      <c r="D34" s="5"/>
      <c r="E34" s="2" t="s">
        <v>104</v>
      </c>
      <c r="F34" s="4" t="s">
        <v>105</v>
      </c>
      <c r="H34" s="25" t="str">
        <f t="shared" si="0"/>
        <v>#{msg['msg.DADOS_GRAVADOS']}</v>
      </c>
      <c r="I34" s="25" t="str">
        <f t="shared" si="1"/>
        <v>msg.DADOS_GRAVADOS</v>
      </c>
    </row>
    <row r="35" spans="1:9" x14ac:dyDescent="0.25">
      <c r="A35" s="25">
        <f t="shared" si="2"/>
        <v>29</v>
      </c>
      <c r="B35" s="2">
        <v>1</v>
      </c>
      <c r="C35" s="5" t="str">
        <f>VLOOKUP(B35,TB_FNX_TIPO_MENSAGEM!$A$7:$B$28,2,FALSE)</f>
        <v>Informação</v>
      </c>
      <c r="D35" s="5"/>
      <c r="E35" s="2" t="s">
        <v>106</v>
      </c>
      <c r="F35" s="4" t="s">
        <v>107</v>
      </c>
      <c r="H35" s="25" t="str">
        <f t="shared" si="0"/>
        <v>#{msg['msg.DADOS_EXCLUIDOS']}</v>
      </c>
      <c r="I35" s="25" t="str">
        <f t="shared" si="1"/>
        <v>msg.DADOS_EXCLUIDOS</v>
      </c>
    </row>
    <row r="36" spans="1:9" x14ac:dyDescent="0.25">
      <c r="A36" s="25">
        <f t="shared" si="2"/>
        <v>30</v>
      </c>
      <c r="B36" s="2">
        <v>2</v>
      </c>
      <c r="C36" s="5" t="str">
        <f>VLOOKUP(B36,TB_FNX_TIPO_MENSAGEM!$A$7:$B$28,2,FALSE)</f>
        <v>Erro</v>
      </c>
      <c r="D36" s="5"/>
      <c r="E36" s="2" t="s">
        <v>108</v>
      </c>
      <c r="F36" s="4" t="s">
        <v>109</v>
      </c>
      <c r="G36" s="18" t="s">
        <v>110</v>
      </c>
      <c r="H36" s="25" t="str">
        <f t="shared" si="0"/>
        <v>#{msg['msg.DADOS_REQUERIDOS']}</v>
      </c>
      <c r="I36" s="25" t="str">
        <f t="shared" si="1"/>
        <v>msg.DADOS_REQUERIDOS</v>
      </c>
    </row>
    <row r="37" spans="1:9" x14ac:dyDescent="0.25">
      <c r="A37" s="25">
        <f t="shared" si="2"/>
        <v>31</v>
      </c>
      <c r="B37" s="2">
        <v>5</v>
      </c>
      <c r="C37" s="5" t="str">
        <f>VLOOKUP(B37,TB_FNX_TIPO_MENSAGEM!$A$7:$B$28,2,FALSE)</f>
        <v>Confirmação</v>
      </c>
      <c r="D37" s="5"/>
      <c r="E37" s="2" t="s">
        <v>111</v>
      </c>
      <c r="F37" s="4" t="s">
        <v>112</v>
      </c>
      <c r="H37" s="25" t="str">
        <f t="shared" si="0"/>
        <v>#{msg['msg.CONFIRMA_EXCLUSAO']}</v>
      </c>
      <c r="I37" s="25" t="str">
        <f t="shared" si="1"/>
        <v>msg.CONFIRMA_EXCLUSAO</v>
      </c>
    </row>
    <row r="38" spans="1:9" x14ac:dyDescent="0.25">
      <c r="A38" s="25">
        <f t="shared" si="2"/>
        <v>32</v>
      </c>
      <c r="B38" s="2">
        <v>2</v>
      </c>
      <c r="C38" s="5" t="str">
        <f>VLOOKUP(B38,TB_FNX_TIPO_MENSAGEM!$A$7:$B$28,2,FALSE)</f>
        <v>Erro</v>
      </c>
      <c r="D38" s="5"/>
      <c r="E38" s="2" t="s">
        <v>113</v>
      </c>
      <c r="F38" s="4" t="s">
        <v>114</v>
      </c>
      <c r="G38" s="18" t="s">
        <v>115</v>
      </c>
      <c r="H38" s="25" t="str">
        <f t="shared" si="0"/>
        <v>#{msg['msg.FALHA_GRAVACAO']}</v>
      </c>
      <c r="I38" s="25" t="str">
        <f t="shared" si="1"/>
        <v>msg.FALHA_GRAVACAO</v>
      </c>
    </row>
    <row r="39" spans="1:9" x14ac:dyDescent="0.25">
      <c r="A39" s="25">
        <f t="shared" si="2"/>
        <v>33</v>
      </c>
      <c r="B39" s="2">
        <v>2</v>
      </c>
      <c r="C39" s="5" t="str">
        <f>VLOOKUP(B39,TB_FNX_TIPO_MENSAGEM!$A$7:$B$28,2,FALSE)</f>
        <v>Erro</v>
      </c>
      <c r="D39" s="5"/>
      <c r="E39" s="2" t="s">
        <v>116</v>
      </c>
      <c r="F39" s="4" t="s">
        <v>117</v>
      </c>
      <c r="G39" s="18" t="s">
        <v>118</v>
      </c>
      <c r="H39" s="25" t="str">
        <f t="shared" si="0"/>
        <v>#{msg['msg.FALHA_ENVIO_EMAIL']}</v>
      </c>
      <c r="I39" s="25" t="str">
        <f t="shared" si="1"/>
        <v>msg.FALHA_ENVIO_EMAIL</v>
      </c>
    </row>
    <row r="40" spans="1:9" ht="30" x14ac:dyDescent="0.25">
      <c r="A40" s="25">
        <f t="shared" si="2"/>
        <v>34</v>
      </c>
      <c r="B40" s="2">
        <v>2</v>
      </c>
      <c r="C40" s="5" t="str">
        <f>VLOOKUP(B40,TB_FNX_TIPO_MENSAGEM!$A$7:$B$28,2,FALSE)</f>
        <v>Erro</v>
      </c>
      <c r="D40" s="5"/>
      <c r="E40" s="2" t="s">
        <v>119</v>
      </c>
      <c r="F40" s="4" t="s">
        <v>120</v>
      </c>
      <c r="G40" s="18" t="s">
        <v>121</v>
      </c>
      <c r="H40" s="25" t="str">
        <f t="shared" si="0"/>
        <v>#{msg['msg.FILTRO_REQUERIDO']}</v>
      </c>
      <c r="I40" s="25" t="str">
        <f t="shared" si="1"/>
        <v>msg.FILTRO_REQUERIDO</v>
      </c>
    </row>
    <row r="41" spans="1:9" ht="30" x14ac:dyDescent="0.25">
      <c r="A41" s="25">
        <f t="shared" si="2"/>
        <v>35</v>
      </c>
      <c r="B41" s="2">
        <v>2</v>
      </c>
      <c r="C41" s="5" t="str">
        <f>VLOOKUP(B41,TB_FNX_TIPO_MENSAGEM!$A$7:$B$28,2,FALSE)</f>
        <v>Erro</v>
      </c>
      <c r="D41" s="5"/>
      <c r="E41" s="2" t="s">
        <v>122</v>
      </c>
      <c r="F41" s="4" t="s">
        <v>123</v>
      </c>
      <c r="G41" s="18" t="s">
        <v>124</v>
      </c>
      <c r="H41" s="25" t="str">
        <f t="shared" si="0"/>
        <v>#{msg['msg.NAO_HA_DADOS']}</v>
      </c>
      <c r="I41" s="25" t="str">
        <f t="shared" si="1"/>
        <v>msg.NAO_HA_DADOS</v>
      </c>
    </row>
    <row r="42" spans="1:9" x14ac:dyDescent="0.25">
      <c r="A42" s="25">
        <f t="shared" si="2"/>
        <v>36</v>
      </c>
      <c r="B42" s="2">
        <v>2</v>
      </c>
      <c r="C42" s="5" t="str">
        <f>VLOOKUP(B42,TB_FNX_TIPO_MENSAGEM!$A$7:$B$28,2,FALSE)</f>
        <v>Erro</v>
      </c>
      <c r="D42" s="5"/>
      <c r="E42" s="2" t="s">
        <v>125</v>
      </c>
      <c r="F42" s="4" t="s">
        <v>126</v>
      </c>
      <c r="G42" s="18" t="s">
        <v>127</v>
      </c>
      <c r="H42" s="25" t="str">
        <f t="shared" si="0"/>
        <v>#{msg['msg.FALHA_EXCLUSAO']}</v>
      </c>
      <c r="I42" s="25" t="str">
        <f t="shared" si="1"/>
        <v>msg.FALHA_EXCLUSAO</v>
      </c>
    </row>
    <row r="43" spans="1:9" x14ac:dyDescent="0.25">
      <c r="A43" s="25">
        <f t="shared" si="2"/>
        <v>37</v>
      </c>
      <c r="B43" s="2">
        <v>2</v>
      </c>
      <c r="C43" s="5" t="str">
        <f>VLOOKUP(B43,TB_FNX_TIPO_MENSAGEM!$A$7:$B$28,2,FALSE)</f>
        <v>Erro</v>
      </c>
      <c r="D43" s="5"/>
      <c r="E43" s="2" t="s">
        <v>432</v>
      </c>
      <c r="F43" s="4" t="s">
        <v>433</v>
      </c>
      <c r="G43" s="18" t="s">
        <v>434</v>
      </c>
      <c r="H43" s="25" t="str">
        <f t="shared" si="0"/>
        <v>#{msg['msg.PERFIL_DUPLICADO']}</v>
      </c>
      <c r="I43" s="25" t="str">
        <f t="shared" si="1"/>
        <v>msg.PERFIL_DUPLICADO</v>
      </c>
    </row>
    <row r="44" spans="1:9" x14ac:dyDescent="0.25">
      <c r="A44" s="25">
        <f t="shared" si="2"/>
        <v>38</v>
      </c>
      <c r="B44" s="2">
        <v>2</v>
      </c>
      <c r="C44" s="5" t="str">
        <f>VLOOKUP(B44,TB_FNX_TIPO_MENSAGEM!$A$7:$B$28,2,FALSE)</f>
        <v>Erro</v>
      </c>
      <c r="D44" s="5"/>
      <c r="E44" s="2" t="s">
        <v>435</v>
      </c>
      <c r="F44" s="4" t="s">
        <v>436</v>
      </c>
      <c r="G44" s="18" t="s">
        <v>437</v>
      </c>
      <c r="H44" s="25" t="str">
        <f t="shared" si="0"/>
        <v>#{msg['msg.FALHA_GERAL']}</v>
      </c>
      <c r="I44" s="25" t="str">
        <f t="shared" si="1"/>
        <v>msg.FALHA_GERAL</v>
      </c>
    </row>
    <row r="45" spans="1:9" x14ac:dyDescent="0.25">
      <c r="A45" s="25">
        <f t="shared" si="2"/>
        <v>39</v>
      </c>
      <c r="B45" s="2">
        <v>2</v>
      </c>
      <c r="C45" s="5" t="str">
        <f>VLOOKUP(B45,TB_FNX_TIPO_MENSAGEM!$A$7:$B$28,2,FALSE)</f>
        <v>Erro</v>
      </c>
      <c r="D45" s="5"/>
      <c r="E45" s="2" t="s">
        <v>438</v>
      </c>
      <c r="F45" s="4" t="s">
        <v>439</v>
      </c>
      <c r="G45" s="18" t="s">
        <v>439</v>
      </c>
      <c r="H45" s="25" t="str">
        <f t="shared" si="0"/>
        <v>#{msg['msg.FALHA_CONSULTA']}</v>
      </c>
      <c r="I45" s="25" t="str">
        <f t="shared" si="1"/>
        <v>msg.FALHA_CONSULTA</v>
      </c>
    </row>
    <row r="46" spans="1:9" ht="30" x14ac:dyDescent="0.25">
      <c r="A46" s="25">
        <f t="shared" si="2"/>
        <v>40</v>
      </c>
      <c r="B46" s="2">
        <v>2</v>
      </c>
      <c r="C46" s="5" t="str">
        <f>VLOOKUP(B46,TB_FNX_TIPO_MENSAGEM!$A$7:$B$28,2,FALSE)</f>
        <v>Erro</v>
      </c>
      <c r="D46" s="5"/>
      <c r="E46" s="2" t="s">
        <v>440</v>
      </c>
      <c r="F46" s="4" t="s">
        <v>441</v>
      </c>
      <c r="G46" s="18" t="s">
        <v>442</v>
      </c>
      <c r="H46" s="25" t="str">
        <f t="shared" si="0"/>
        <v>#{msg['msg.ACAO_SEM_ITENS_ORCAM']}</v>
      </c>
      <c r="I46" s="25" t="str">
        <f t="shared" si="1"/>
        <v>msg.ACAO_SEM_ITENS_ORCAM</v>
      </c>
    </row>
    <row r="47" spans="1:9" ht="30" x14ac:dyDescent="0.25">
      <c r="A47" s="25">
        <f t="shared" si="2"/>
        <v>41</v>
      </c>
      <c r="B47" s="2">
        <v>2</v>
      </c>
      <c r="C47" s="5" t="str">
        <f>VLOOKUP(B47,TB_FNX_TIPO_MENSAGEM!$A$7:$B$28,2,FALSE)</f>
        <v>Erro</v>
      </c>
      <c r="D47" s="5"/>
      <c r="E47" s="2" t="s">
        <v>443</v>
      </c>
      <c r="F47" s="4" t="s">
        <v>444</v>
      </c>
      <c r="G47" s="18" t="s">
        <v>444</v>
      </c>
      <c r="H47" s="25" t="str">
        <f t="shared" si="0"/>
        <v>#{msg['msg.ACAO_SEM_ITEM_PADRAO']}</v>
      </c>
      <c r="I47" s="25" t="str">
        <f t="shared" si="1"/>
        <v>msg.ACAO_SEM_ITEM_PADRAO</v>
      </c>
    </row>
    <row r="48" spans="1:9" ht="30" x14ac:dyDescent="0.25">
      <c r="A48" s="25">
        <f t="shared" si="2"/>
        <v>42</v>
      </c>
      <c r="B48" s="2">
        <v>1</v>
      </c>
      <c r="C48" s="5" t="str">
        <f>VLOOKUP(B48,TB_FNX_TIPO_MENSAGEM!$A$7:$B$28,2,FALSE)</f>
        <v>Informação</v>
      </c>
      <c r="D48" s="5"/>
      <c r="E48" s="10" t="s">
        <v>450</v>
      </c>
      <c r="F48" s="4" t="s">
        <v>451</v>
      </c>
      <c r="H48" s="25" t="str">
        <f t="shared" si="0"/>
        <v>#{msg['msg.WS_EXEC_SUCESSO']}</v>
      </c>
      <c r="I48" s="25" t="str">
        <f t="shared" si="1"/>
        <v>msg.WS_EXEC_SUCESSO</v>
      </c>
    </row>
    <row r="49" spans="1:9" ht="45" x14ac:dyDescent="0.25">
      <c r="A49" s="25">
        <f t="shared" si="2"/>
        <v>43</v>
      </c>
      <c r="B49" s="2">
        <v>5</v>
      </c>
      <c r="C49" s="5" t="str">
        <f>VLOOKUP(B49,TB_FNX_TIPO_MENSAGEM!$A$7:$B$28,2,FALSE)</f>
        <v>Confirmação</v>
      </c>
      <c r="D49" s="5" t="s">
        <v>486</v>
      </c>
      <c r="E49" s="10" t="s">
        <v>498</v>
      </c>
      <c r="F49" s="4" t="s">
        <v>499</v>
      </c>
      <c r="H49" s="25" t="str">
        <f t="shared" si="0"/>
        <v>#{msg['msg.REC_PROT_MUD_CONF_EXCLUSAO']}</v>
      </c>
      <c r="I49" s="25" t="str">
        <f t="shared" si="1"/>
        <v>msg.REC_PROT_MUD_CONF_EXCLUSAO</v>
      </c>
    </row>
    <row r="50" spans="1:9" ht="45" x14ac:dyDescent="0.25">
      <c r="A50" s="25">
        <f t="shared" si="2"/>
        <v>44</v>
      </c>
      <c r="B50" s="2">
        <v>2</v>
      </c>
      <c r="C50" s="5" t="str">
        <f>VLOOKUP(B50,TB_FNX_TIPO_MENSAGEM!$A$7:$B$28,2,FALSE)</f>
        <v>Erro</v>
      </c>
      <c r="D50" s="2" t="s">
        <v>500</v>
      </c>
      <c r="E50" s="2" t="s">
        <v>501</v>
      </c>
      <c r="F50" s="4" t="s">
        <v>502</v>
      </c>
      <c r="H50" s="25" t="str">
        <f t="shared" si="0"/>
        <v>#{msg['msg.PROJETO_POSSUI_PARCELAS']}</v>
      </c>
      <c r="I50" s="25" t="str">
        <f t="shared" si="1"/>
        <v>msg.PROJETO_POSSUI_PARCELAS</v>
      </c>
    </row>
    <row r="51" spans="1:9" ht="45" x14ac:dyDescent="0.25">
      <c r="A51" s="25">
        <f t="shared" si="2"/>
        <v>45</v>
      </c>
      <c r="B51" s="2">
        <v>2</v>
      </c>
      <c r="C51" s="5" t="str">
        <f>VLOOKUP(B51,TB_FNX_TIPO_MENSAGEM!$A$7:$B$28,2,FALSE)</f>
        <v>Erro</v>
      </c>
      <c r="D51" s="2" t="s">
        <v>500</v>
      </c>
      <c r="E51" s="2" t="s">
        <v>503</v>
      </c>
      <c r="F51" s="4" t="s">
        <v>504</v>
      </c>
      <c r="H51" s="25" t="str">
        <f t="shared" si="0"/>
        <v>#{msg['msg.PROJETO_POSSUI_COTACAO']}</v>
      </c>
      <c r="I51" s="25" t="str">
        <f t="shared" si="1"/>
        <v>msg.PROJETO_POSSUI_COTACAO</v>
      </c>
    </row>
    <row r="52" spans="1:9" ht="30" x14ac:dyDescent="0.25">
      <c r="A52" s="25">
        <f t="shared" si="2"/>
        <v>46</v>
      </c>
      <c r="B52" s="2">
        <v>2</v>
      </c>
      <c r="C52" s="5" t="str">
        <f>VLOOKUP(B52,TB_FNX_TIPO_MENSAGEM!$A$7:$B$28,2,FALSE)</f>
        <v>Erro</v>
      </c>
      <c r="D52" s="2" t="s">
        <v>500</v>
      </c>
      <c r="E52" s="2" t="s">
        <v>505</v>
      </c>
      <c r="F52" s="4" t="s">
        <v>506</v>
      </c>
      <c r="H52" s="25" t="str">
        <f t="shared" si="0"/>
        <v>#{msg['msg.PROJETO_SEM_TIPO_INST_JURIDICO']}</v>
      </c>
      <c r="I52" s="25" t="str">
        <f t="shared" si="1"/>
        <v>msg.PROJETO_SEM_TIPO_INST_JURIDICO</v>
      </c>
    </row>
    <row r="53" spans="1:9" x14ac:dyDescent="0.25">
      <c r="A53" s="25">
        <f t="shared" si="2"/>
        <v>47</v>
      </c>
      <c r="B53" s="2">
        <v>2</v>
      </c>
      <c r="C53" s="5" t="str">
        <f>VLOOKUP(B53,TB_FNX_TIPO_MENSAGEM!$A$7:$B$28,2,FALSE)</f>
        <v>Erro</v>
      </c>
      <c r="E53" s="2" t="s">
        <v>539</v>
      </c>
      <c r="F53" s="4" t="s">
        <v>532</v>
      </c>
      <c r="G53" s="18" t="s">
        <v>514</v>
      </c>
      <c r="H53" s="25" t="str">
        <f t="shared" si="0"/>
        <v>#{msg['msg.ERR_DT_PRCL_GT_DT_FINAL_PROJETO']}</v>
      </c>
      <c r="I53" s="25" t="str">
        <f t="shared" si="1"/>
        <v>msg.ERR_DT_PRCL_GT_DT_FINAL_PROJETO</v>
      </c>
    </row>
    <row r="54" spans="1:9" x14ac:dyDescent="0.25">
      <c r="A54" s="25">
        <f t="shared" si="2"/>
        <v>48</v>
      </c>
      <c r="B54" s="2">
        <v>2</v>
      </c>
      <c r="C54" s="5" t="str">
        <f>VLOOKUP(B54,TB_FNX_TIPO_MENSAGEM!$A$7:$B$28,2,FALSE)</f>
        <v>Erro</v>
      </c>
      <c r="E54" s="2" t="s">
        <v>540</v>
      </c>
      <c r="F54" s="4" t="s">
        <v>532</v>
      </c>
      <c r="G54" s="18" t="s">
        <v>515</v>
      </c>
      <c r="H54" s="25" t="str">
        <f t="shared" si="0"/>
        <v>#{msg['msg.ERR_DT_PRCL_LT_DT_INICIO_PROJETO']}</v>
      </c>
      <c r="I54" s="25" t="str">
        <f t="shared" si="1"/>
        <v>msg.ERR_DT_PRCL_LT_DT_INICIO_PROJETO</v>
      </c>
    </row>
    <row r="55" spans="1:9" x14ac:dyDescent="0.25">
      <c r="A55" s="25">
        <f t="shared" si="2"/>
        <v>49</v>
      </c>
      <c r="B55" s="2">
        <v>2</v>
      </c>
      <c r="C55" s="5" t="str">
        <f>VLOOKUP(B55,TB_FNX_TIPO_MENSAGEM!$A$7:$B$28,2,FALSE)</f>
        <v>Erro</v>
      </c>
      <c r="E55" s="2" t="s">
        <v>541</v>
      </c>
      <c r="F55" s="4" t="s">
        <v>532</v>
      </c>
      <c r="G55" s="18" t="s">
        <v>516</v>
      </c>
      <c r="H55" s="25" t="str">
        <f t="shared" si="0"/>
        <v>#{msg['msg.ERR_DT_PRCL_LT_DT_PRCL_ANTERIOR']}</v>
      </c>
      <c r="I55" s="25" t="str">
        <f t="shared" si="1"/>
        <v>msg.ERR_DT_PRCL_LT_DT_PRCL_ANTERIOR</v>
      </c>
    </row>
    <row r="56" spans="1:9" x14ac:dyDescent="0.25">
      <c r="A56" s="25">
        <f t="shared" si="2"/>
        <v>50</v>
      </c>
      <c r="B56" s="2">
        <v>2</v>
      </c>
      <c r="C56" s="5" t="str">
        <f>VLOOKUP(B56,TB_FNX_TIPO_MENSAGEM!$A$7:$B$28,2,FALSE)</f>
        <v>Erro</v>
      </c>
      <c r="E56" s="2" t="s">
        <v>542</v>
      </c>
      <c r="F56" s="4" t="s">
        <v>532</v>
      </c>
      <c r="G56" s="18" t="s">
        <v>517</v>
      </c>
      <c r="H56" s="25" t="str">
        <f t="shared" si="0"/>
        <v>#{msg['msg.ERR_DT_PRCL_GT_DT_PRCL_POSTERIOR']}</v>
      </c>
      <c r="I56" s="25" t="str">
        <f t="shared" si="1"/>
        <v>msg.ERR_DT_PRCL_GT_DT_PRCL_POSTERIOR</v>
      </c>
    </row>
    <row r="57" spans="1:9" x14ac:dyDescent="0.25">
      <c r="A57" s="25">
        <f t="shared" si="2"/>
        <v>51</v>
      </c>
      <c r="B57" s="2">
        <v>2</v>
      </c>
      <c r="C57" s="5" t="str">
        <f>VLOOKUP(B57,TB_FNX_TIPO_MENSAGEM!$A$7:$B$28,2,FALSE)</f>
        <v>Erro</v>
      </c>
      <c r="E57" s="25" t="s">
        <v>543</v>
      </c>
      <c r="F57" s="4" t="s">
        <v>533</v>
      </c>
      <c r="G57" s="18" t="s">
        <v>518</v>
      </c>
      <c r="H57" s="25" t="str">
        <f t="shared" si="0"/>
        <v>#{msg['msg.ERR_DT_DSMBLS_LT_DT_DSMBLS_ANTERIOR']}</v>
      </c>
      <c r="I57" s="25" t="str">
        <f t="shared" si="1"/>
        <v>msg.ERR_DT_DSMBLS_LT_DT_DSMBLS_ANTERIOR</v>
      </c>
    </row>
    <row r="58" spans="1:9" x14ac:dyDescent="0.25">
      <c r="A58" s="25">
        <f t="shared" si="2"/>
        <v>52</v>
      </c>
      <c r="B58" s="2">
        <v>2</v>
      </c>
      <c r="C58" s="5" t="str">
        <f>VLOOKUP(B58,TB_FNX_TIPO_MENSAGEM!$A$7:$B$28,2,FALSE)</f>
        <v>Erro</v>
      </c>
      <c r="E58" s="25" t="s">
        <v>544</v>
      </c>
      <c r="F58" s="4" t="s">
        <v>533</v>
      </c>
      <c r="G58" s="18" t="s">
        <v>519</v>
      </c>
      <c r="H58" s="25" t="str">
        <f t="shared" si="0"/>
        <v>#{msg['msg.ERR_DT_DSMBLS_GT_DT_DSMBLS_POSTERIOR']}</v>
      </c>
      <c r="I58" s="25" t="str">
        <f t="shared" si="1"/>
        <v>msg.ERR_DT_DSMBLS_GT_DT_DSMBLS_POSTERIOR</v>
      </c>
    </row>
    <row r="59" spans="1:9" x14ac:dyDescent="0.25">
      <c r="A59" s="25">
        <f t="shared" si="2"/>
        <v>53</v>
      </c>
      <c r="B59" s="2">
        <v>2</v>
      </c>
      <c r="C59" s="5" t="str">
        <f>VLOOKUP(B59,TB_FNX_TIPO_MENSAGEM!$A$7:$B$28,2,FALSE)</f>
        <v>Erro</v>
      </c>
      <c r="E59" s="25" t="s">
        <v>545</v>
      </c>
      <c r="F59" s="4" t="s">
        <v>538</v>
      </c>
      <c r="G59" s="18" t="s">
        <v>520</v>
      </c>
      <c r="H59" s="25" t="str">
        <f t="shared" si="0"/>
        <v>#{msg['msg.ERR_DESEMBOLSO_ENVIADO_PAGO']}</v>
      </c>
      <c r="I59" s="25" t="str">
        <f t="shared" si="1"/>
        <v>msg.ERR_DESEMBOLSO_ENVIADO_PAGO</v>
      </c>
    </row>
    <row r="60" spans="1:9" x14ac:dyDescent="0.25">
      <c r="A60" s="25">
        <f t="shared" si="2"/>
        <v>54</v>
      </c>
      <c r="B60" s="2">
        <v>2</v>
      </c>
      <c r="C60" s="5" t="str">
        <f>VLOOKUP(B60,TB_FNX_TIPO_MENSAGEM!$A$7:$B$28,2,FALSE)</f>
        <v>Erro</v>
      </c>
      <c r="E60" s="25" t="s">
        <v>546</v>
      </c>
      <c r="F60" s="4" t="s">
        <v>532</v>
      </c>
      <c r="G60" s="18" t="s">
        <v>521</v>
      </c>
      <c r="H60" s="25" t="str">
        <f t="shared" si="0"/>
        <v>#{msg['msg.ERR_DT_PRCL_NEQ_DT_PRIM_DSMBLS']}</v>
      </c>
      <c r="I60" s="25" t="str">
        <f t="shared" si="1"/>
        <v>msg.ERR_DT_PRCL_NEQ_DT_PRIM_DSMBLS</v>
      </c>
    </row>
    <row r="61" spans="1:9" x14ac:dyDescent="0.25">
      <c r="A61" s="25">
        <f t="shared" si="2"/>
        <v>55</v>
      </c>
      <c r="B61" s="2">
        <v>2</v>
      </c>
      <c r="C61" s="5" t="str">
        <f>VLOOKUP(B61,TB_FNX_TIPO_MENSAGEM!$A$7:$B$28,2,FALSE)</f>
        <v>Erro</v>
      </c>
      <c r="E61" s="25" t="s">
        <v>547</v>
      </c>
      <c r="F61" s="4" t="s">
        <v>533</v>
      </c>
      <c r="G61" s="18" t="s">
        <v>522</v>
      </c>
      <c r="H61" s="25" t="str">
        <f t="shared" si="0"/>
        <v>#{msg['msg.ERR_DT_DSMBLS_LT_DT_ULT_DSMBLS']}</v>
      </c>
      <c r="I61" s="25" t="str">
        <f t="shared" si="1"/>
        <v>msg.ERR_DT_DSMBLS_LT_DT_ULT_DSMBLS</v>
      </c>
    </row>
    <row r="62" spans="1:9" x14ac:dyDescent="0.25">
      <c r="A62" s="25">
        <f t="shared" si="2"/>
        <v>56</v>
      </c>
      <c r="B62" s="2">
        <v>2</v>
      </c>
      <c r="C62" s="5" t="str">
        <f>VLOOKUP(B62,TB_FNX_TIPO_MENSAGEM!$A$7:$B$28,2,FALSE)</f>
        <v>Erro</v>
      </c>
      <c r="E62" s="25" t="s">
        <v>548</v>
      </c>
      <c r="F62" s="4" t="s">
        <v>534</v>
      </c>
      <c r="G62" s="18" t="s">
        <v>894</v>
      </c>
      <c r="H62" s="25" t="str">
        <f t="shared" si="0"/>
        <v>#{msg['msg.ERR_DESEMBOLSO_NAO_ULTIMO']}</v>
      </c>
      <c r="I62" s="25" t="str">
        <f t="shared" si="1"/>
        <v>msg.ERR_DESEMBOLSO_NAO_ULTIMO</v>
      </c>
    </row>
    <row r="63" spans="1:9" x14ac:dyDescent="0.25">
      <c r="A63" s="25">
        <f t="shared" si="2"/>
        <v>57</v>
      </c>
      <c r="B63" s="2">
        <v>2</v>
      </c>
      <c r="C63" s="5" t="str">
        <f>VLOOKUP(B63,TB_FNX_TIPO_MENSAGEM!$A$7:$B$28,2,FALSE)</f>
        <v>Erro</v>
      </c>
      <c r="E63" s="25" t="s">
        <v>549</v>
      </c>
      <c r="F63" s="4" t="s">
        <v>535</v>
      </c>
      <c r="G63" s="18" t="s">
        <v>523</v>
      </c>
      <c r="H63" s="25" t="str">
        <f t="shared" si="0"/>
        <v>#{msg['msg.ERR_PRIMEIRO_DESEMBOLSO']}</v>
      </c>
      <c r="I63" s="25" t="str">
        <f t="shared" si="1"/>
        <v>msg.ERR_PRIMEIRO_DESEMBOLSO</v>
      </c>
    </row>
    <row r="64" spans="1:9" x14ac:dyDescent="0.25">
      <c r="A64" s="25">
        <f t="shared" si="2"/>
        <v>58</v>
      </c>
      <c r="B64" s="2">
        <v>2</v>
      </c>
      <c r="C64" s="5" t="str">
        <f>VLOOKUP(B64,TB_FNX_TIPO_MENSAGEM!$A$7:$B$28,2,FALSE)</f>
        <v>Erro</v>
      </c>
      <c r="E64" s="25" t="s">
        <v>550</v>
      </c>
      <c r="F64" s="4" t="s">
        <v>535</v>
      </c>
      <c r="G64" s="18" t="s">
        <v>629</v>
      </c>
      <c r="H64" s="25" t="str">
        <f t="shared" si="0"/>
        <v>#{msg['msg.ERR_DEL_DESEMBOLSO_PAGO_ENVIADO']}</v>
      </c>
      <c r="I64" s="25" t="str">
        <f t="shared" si="1"/>
        <v>msg.ERR_DEL_DESEMBOLSO_PAGO_ENVIADO</v>
      </c>
    </row>
    <row r="65" spans="1:9" x14ac:dyDescent="0.25">
      <c r="A65" s="25">
        <f t="shared" si="2"/>
        <v>59</v>
      </c>
      <c r="B65" s="2">
        <v>2</v>
      </c>
      <c r="C65" s="5" t="str">
        <f>VLOOKUP(B65,TB_FNX_TIPO_MENSAGEM!$A$7:$B$28,2,FALSE)</f>
        <v>Erro</v>
      </c>
      <c r="E65" s="25" t="s">
        <v>551</v>
      </c>
      <c r="F65" s="4" t="s">
        <v>537</v>
      </c>
      <c r="G65" s="18" t="s">
        <v>524</v>
      </c>
      <c r="H65" s="25" t="str">
        <f t="shared" si="0"/>
        <v>#{msg['msg.ERR_PARCELA_NAO_ULTIMA']}</v>
      </c>
      <c r="I65" s="25" t="str">
        <f t="shared" si="1"/>
        <v>msg.ERR_PARCELA_NAO_ULTIMA</v>
      </c>
    </row>
    <row r="66" spans="1:9" x14ac:dyDescent="0.25">
      <c r="A66" s="25">
        <f t="shared" si="2"/>
        <v>60</v>
      </c>
      <c r="B66" s="2">
        <v>2</v>
      </c>
      <c r="C66" s="5" t="str">
        <f>VLOOKUP(B66,TB_FNX_TIPO_MENSAGEM!$A$7:$B$28,2,FALSE)</f>
        <v>Erro</v>
      </c>
      <c r="E66" s="2" t="s">
        <v>552</v>
      </c>
      <c r="F66" s="4" t="s">
        <v>532</v>
      </c>
      <c r="G66" s="18" t="s">
        <v>525</v>
      </c>
      <c r="H66" s="25" t="str">
        <f t="shared" si="0"/>
        <v>#{msg['msg.ERR_DT_PRCL_LT_DT_ULT_DSMBLS_PRCL']}</v>
      </c>
      <c r="I66" s="25" t="str">
        <f t="shared" si="1"/>
        <v>msg.ERR_DT_PRCL_LT_DT_ULT_DSMBLS_PRCL</v>
      </c>
    </row>
    <row r="67" spans="1:9" x14ac:dyDescent="0.25">
      <c r="A67" s="25">
        <f t="shared" si="2"/>
        <v>61</v>
      </c>
      <c r="B67" s="2">
        <v>2</v>
      </c>
      <c r="C67" s="5" t="str">
        <f>VLOOKUP(B67,TB_FNX_TIPO_MENSAGEM!$A$7:$B$28,2,FALSE)</f>
        <v>Erro</v>
      </c>
      <c r="E67" s="2" t="s">
        <v>553</v>
      </c>
      <c r="F67" s="4" t="s">
        <v>534</v>
      </c>
      <c r="G67" s="18" t="s">
        <v>526</v>
      </c>
      <c r="H67" s="25" t="str">
        <f t="shared" si="0"/>
        <v>#{msg['msg.ERR_PARCELA_TEM_LANC_REALIZADO']}</v>
      </c>
      <c r="I67" s="25" t="str">
        <f t="shared" si="1"/>
        <v>msg.ERR_PARCELA_TEM_LANC_REALIZADO</v>
      </c>
    </row>
    <row r="68" spans="1:9" ht="30" x14ac:dyDescent="0.25">
      <c r="A68" s="25">
        <f t="shared" si="2"/>
        <v>62</v>
      </c>
      <c r="B68" s="2">
        <v>2</v>
      </c>
      <c r="C68" s="5" t="str">
        <f>VLOOKUP(B68,TB_FNX_TIPO_MENSAGEM!$A$7:$B$28,2,FALSE)</f>
        <v>Erro</v>
      </c>
      <c r="E68" s="2" t="s">
        <v>554</v>
      </c>
      <c r="F68" s="4" t="s">
        <v>534</v>
      </c>
      <c r="G68" s="18" t="s">
        <v>892</v>
      </c>
      <c r="H68" s="25" t="str">
        <f t="shared" si="0"/>
        <v>#{msg['msg.ERR_PRCL_TEM_DSMBLS_PAGO_ENVIADO']}</v>
      </c>
      <c r="I68" s="25" t="str">
        <f t="shared" si="1"/>
        <v>msg.ERR_PRCL_TEM_DSMBLS_PAGO_ENVIADO</v>
      </c>
    </row>
    <row r="69" spans="1:9" x14ac:dyDescent="0.25">
      <c r="A69" s="25">
        <f t="shared" si="2"/>
        <v>63</v>
      </c>
      <c r="B69" s="2">
        <v>2</v>
      </c>
      <c r="C69" s="5" t="str">
        <f>VLOOKUP(B69,TB_FNX_TIPO_MENSAGEM!$A$7:$B$28,2,FALSE)</f>
        <v>Erro</v>
      </c>
      <c r="E69" s="2" t="s">
        <v>555</v>
      </c>
      <c r="F69" s="4" t="s">
        <v>534</v>
      </c>
      <c r="G69" s="18" t="s">
        <v>527</v>
      </c>
      <c r="H69" s="25" t="str">
        <f t="shared" si="0"/>
        <v>#{msg['msg.ERR_PRIMEIRA_PARCELA_PROJETO']}</v>
      </c>
      <c r="I69" s="25" t="str">
        <f t="shared" si="1"/>
        <v>msg.ERR_PRIMEIRA_PARCELA_PROJETO</v>
      </c>
    </row>
    <row r="70" spans="1:9" x14ac:dyDescent="0.25">
      <c r="A70" s="25">
        <f t="shared" si="2"/>
        <v>64</v>
      </c>
      <c r="B70" s="2">
        <v>2</v>
      </c>
      <c r="C70" s="5" t="str">
        <f>VLOOKUP(B70,TB_FNX_TIPO_MENSAGEM!$A$7:$B$28,2,FALSE)</f>
        <v>Erro</v>
      </c>
      <c r="E70" s="2" t="s">
        <v>556</v>
      </c>
      <c r="F70" s="4" t="s">
        <v>534</v>
      </c>
      <c r="G70" s="18" t="s">
        <v>893</v>
      </c>
      <c r="H70" s="25" t="str">
        <f t="shared" si="0"/>
        <v>#{msg['msg.ERR_PARCELA_TEM_PREST_CONTA']}</v>
      </c>
      <c r="I70" s="25" t="str">
        <f t="shared" si="1"/>
        <v>msg.ERR_PARCELA_TEM_PREST_CONTA</v>
      </c>
    </row>
    <row r="71" spans="1:9" x14ac:dyDescent="0.25">
      <c r="A71" s="25">
        <f t="shared" si="2"/>
        <v>65</v>
      </c>
      <c r="B71" s="2">
        <v>2</v>
      </c>
      <c r="C71" s="5" t="str">
        <f>VLOOKUP(B71,TB_FNX_TIPO_MENSAGEM!$A$7:$B$28,2,FALSE)</f>
        <v>Erro</v>
      </c>
      <c r="E71" s="2" t="s">
        <v>557</v>
      </c>
      <c r="F71" s="4" t="s">
        <v>534</v>
      </c>
      <c r="G71" s="18" t="s">
        <v>528</v>
      </c>
      <c r="H71" s="25" t="str">
        <f t="shared" si="0"/>
        <v>#{msg['msg.ERR_FASE_PARCELA_INVALIDA']}</v>
      </c>
      <c r="I71" s="25" t="str">
        <f t="shared" si="1"/>
        <v>msg.ERR_FASE_PARCELA_INVALIDA</v>
      </c>
    </row>
    <row r="72" spans="1:9" x14ac:dyDescent="0.25">
      <c r="A72" s="25">
        <f t="shared" si="2"/>
        <v>66</v>
      </c>
      <c r="B72" s="2">
        <v>2</v>
      </c>
      <c r="C72" s="5" t="str">
        <f>VLOOKUP(B72,TB_FNX_TIPO_MENSAGEM!$A$7:$B$28,2,FALSE)</f>
        <v>Erro</v>
      </c>
      <c r="E72" s="2" t="s">
        <v>891</v>
      </c>
      <c r="F72" s="4" t="s">
        <v>534</v>
      </c>
      <c r="G72" s="18" t="s">
        <v>529</v>
      </c>
      <c r="H72" s="25" t="str">
        <f t="shared" ref="H72:H135" si="3">CONCATENATE("#{msg['msg.",$E72,"']}")</f>
        <v>#{msg['msg.ERR_NAO_ULTIMA_PARCELA_SIMULACAO']}</v>
      </c>
      <c r="I72" s="25" t="str">
        <f t="shared" ref="I72:I135" si="4">CONCATENATE("msg.",$E72)</f>
        <v>msg.ERR_NAO_ULTIMA_PARCELA_SIMULACAO</v>
      </c>
    </row>
    <row r="73" spans="1:9" ht="30" x14ac:dyDescent="0.25">
      <c r="A73" s="25">
        <f t="shared" ref="A73:A136" si="5">A72+1</f>
        <v>67</v>
      </c>
      <c r="B73" s="2">
        <v>2</v>
      </c>
      <c r="C73" s="5" t="str">
        <f>VLOOKUP(B73,TB_FNX_TIPO_MENSAGEM!$A$7:$B$28,2,FALSE)</f>
        <v>Erro</v>
      </c>
      <c r="E73" s="2" t="s">
        <v>558</v>
      </c>
      <c r="F73" s="4" t="s">
        <v>536</v>
      </c>
      <c r="G73" s="18" t="s">
        <v>530</v>
      </c>
      <c r="H73" s="25" t="str">
        <f t="shared" si="3"/>
        <v>#{msg['msg.ERR_PROJETO_TEM_PACOTE_MUDANCA']}</v>
      </c>
      <c r="I73" s="25" t="str">
        <f t="shared" si="4"/>
        <v>msg.ERR_PROJETO_TEM_PACOTE_MUDANCA</v>
      </c>
    </row>
    <row r="74" spans="1:9" x14ac:dyDescent="0.25">
      <c r="A74" s="25">
        <f t="shared" si="5"/>
        <v>68</v>
      </c>
      <c r="B74" s="2">
        <v>2</v>
      </c>
      <c r="C74" s="5" t="str">
        <f>VLOOKUP(B74,TB_FNX_TIPO_MENSAGEM!$A$7:$B$28,2,FALSE)</f>
        <v>Erro</v>
      </c>
      <c r="E74" s="2" t="s">
        <v>559</v>
      </c>
      <c r="F74" s="4" t="s">
        <v>533</v>
      </c>
      <c r="G74" s="18" t="s">
        <v>531</v>
      </c>
      <c r="H74" s="25" t="str">
        <f t="shared" si="3"/>
        <v>#{msg['msg.ERR_DT_DSMBLS_GT_DT_PRCL_SEGUINTE']}</v>
      </c>
      <c r="I74" s="25" t="str">
        <f t="shared" si="4"/>
        <v>msg.ERR_DT_DSMBLS_GT_DT_PRCL_SEGUINTE</v>
      </c>
    </row>
    <row r="75" spans="1:9" x14ac:dyDescent="0.25">
      <c r="A75" s="25">
        <f t="shared" si="5"/>
        <v>69</v>
      </c>
      <c r="B75" s="2">
        <v>2</v>
      </c>
      <c r="C75" s="5" t="str">
        <f>VLOOKUP(B75,TB_FNX_TIPO_MENSAGEM!$A$7:$B$28,2,FALSE)</f>
        <v>Erro</v>
      </c>
      <c r="E75" s="2" t="s">
        <v>631</v>
      </c>
      <c r="F75" s="4" t="s">
        <v>533</v>
      </c>
      <c r="G75" s="18" t="s">
        <v>630</v>
      </c>
      <c r="H75" s="25" t="str">
        <f t="shared" si="3"/>
        <v>#{msg['msg.ERR_DT_DSMBLS_GT_DT_FINAL_PROJETO']}</v>
      </c>
      <c r="I75" s="25" t="str">
        <f t="shared" si="4"/>
        <v>msg.ERR_DT_DSMBLS_GT_DT_FINAL_PROJETO</v>
      </c>
    </row>
    <row r="76" spans="1:9" x14ac:dyDescent="0.25">
      <c r="A76" s="25">
        <f t="shared" si="5"/>
        <v>70</v>
      </c>
      <c r="B76" s="2">
        <v>2</v>
      </c>
      <c r="C76" s="5" t="str">
        <f>VLOOKUP(B76,TB_FNX_TIPO_MENSAGEM!$A$7:$B$28,2,FALSE)</f>
        <v>Erro</v>
      </c>
      <c r="E76" s="2" t="s">
        <v>657</v>
      </c>
      <c r="F76" s="4" t="s">
        <v>659</v>
      </c>
      <c r="G76" s="18" t="s">
        <v>661</v>
      </c>
      <c r="H76" s="25" t="str">
        <f t="shared" si="3"/>
        <v>#{msg['msg.ERR_VALOR_MOEDA_INVALIDO']}</v>
      </c>
      <c r="I76" s="25" t="str">
        <f t="shared" si="4"/>
        <v>msg.ERR_VALOR_MOEDA_INVALIDO</v>
      </c>
    </row>
    <row r="77" spans="1:9" x14ac:dyDescent="0.25">
      <c r="A77" s="25">
        <f t="shared" si="5"/>
        <v>71</v>
      </c>
      <c r="B77" s="2">
        <v>2</v>
      </c>
      <c r="C77" s="5" t="str">
        <f>VLOOKUP(B77,TB_FNX_TIPO_MENSAGEM!$A$7:$B$28,2,FALSE)</f>
        <v>Erro</v>
      </c>
      <c r="E77" s="2" t="s">
        <v>658</v>
      </c>
      <c r="F77" s="4" t="s">
        <v>660</v>
      </c>
      <c r="G77" s="18" t="s">
        <v>662</v>
      </c>
      <c r="H77" s="25" t="str">
        <f t="shared" si="3"/>
        <v>#{msg['msg.ERR_VALOR_DSMBLS_INVALIDO']}</v>
      </c>
      <c r="I77" s="25" t="str">
        <f t="shared" si="4"/>
        <v>msg.ERR_VALOR_DSMBLS_INVALIDO</v>
      </c>
    </row>
    <row r="78" spans="1:9" x14ac:dyDescent="0.25">
      <c r="A78" s="25">
        <f t="shared" si="5"/>
        <v>72</v>
      </c>
      <c r="B78" s="2">
        <v>2</v>
      </c>
      <c r="C78" s="5" t="str">
        <f>VLOOKUP(B78,TB_FNX_TIPO_MENSAGEM!$A$7:$B$28,2,FALSE)</f>
        <v>Erro</v>
      </c>
      <c r="E78" s="2" t="s">
        <v>663</v>
      </c>
      <c r="F78" s="4" t="s">
        <v>665</v>
      </c>
      <c r="G78" s="18" t="s">
        <v>667</v>
      </c>
      <c r="H78" s="25" t="str">
        <f t="shared" si="3"/>
        <v>#{msg['msg.ERR_DATA_PARCELA_MENOR_MINIMA']}</v>
      </c>
      <c r="I78" s="25" t="str">
        <f t="shared" si="4"/>
        <v>msg.ERR_DATA_PARCELA_MENOR_MINIMA</v>
      </c>
    </row>
    <row r="79" spans="1:9" x14ac:dyDescent="0.25">
      <c r="A79" s="25">
        <f t="shared" si="5"/>
        <v>73</v>
      </c>
      <c r="B79" s="2">
        <v>2</v>
      </c>
      <c r="C79" s="5" t="str">
        <f>VLOOKUP(B79,TB_FNX_TIPO_MENSAGEM!$A$7:$B$28,2,FALSE)</f>
        <v>Erro</v>
      </c>
      <c r="E79" s="2" t="s">
        <v>664</v>
      </c>
      <c r="F79" s="4" t="s">
        <v>666</v>
      </c>
      <c r="G79" s="18" t="s">
        <v>668</v>
      </c>
      <c r="H79" s="25" t="str">
        <f t="shared" si="3"/>
        <v>#{msg['msg.ERR_DATA_PARCELA_MAIOR_MAXIMA']}</v>
      </c>
      <c r="I79" s="25" t="str">
        <f t="shared" si="4"/>
        <v>msg.ERR_DATA_PARCELA_MAIOR_MAXIMA</v>
      </c>
    </row>
    <row r="80" spans="1:9" ht="45" x14ac:dyDescent="0.25">
      <c r="A80" s="25">
        <f t="shared" si="5"/>
        <v>74</v>
      </c>
      <c r="B80" s="2">
        <v>3</v>
      </c>
      <c r="C80" s="5" t="str">
        <f>VLOOKUP(B80,TB_FNX_TIPO_MENSAGEM!$A$7:$B$28,2,FALSE)</f>
        <v>Alerta</v>
      </c>
      <c r="D80" s="2" t="s">
        <v>670</v>
      </c>
      <c r="E80" s="2" t="s">
        <v>716</v>
      </c>
      <c r="F80" s="4" t="s">
        <v>717</v>
      </c>
      <c r="H80" s="25" t="str">
        <f t="shared" si="3"/>
        <v>#{msg['msg.MEM_CALC_MUD_EM_ANALISE']}</v>
      </c>
      <c r="I80" s="25" t="str">
        <f t="shared" si="4"/>
        <v>msg.MEM_CALC_MUD_EM_ANALISE</v>
      </c>
    </row>
    <row r="81" spans="1:9" ht="30" x14ac:dyDescent="0.25">
      <c r="A81" s="25">
        <f t="shared" si="5"/>
        <v>75</v>
      </c>
      <c r="B81" s="2">
        <v>3</v>
      </c>
      <c r="C81" s="5" t="str">
        <f>VLOOKUP(B81,TB_FNX_TIPO_MENSAGEM!$A$7:$B$28,2,FALSE)</f>
        <v>Alerta</v>
      </c>
      <c r="E81" s="2" t="s">
        <v>718</v>
      </c>
      <c r="F81" s="4" t="s">
        <v>719</v>
      </c>
      <c r="H81" s="25" t="str">
        <f t="shared" si="3"/>
        <v>#{msg['msg.MEM_CALC_FASE_PROJ_MUD']}</v>
      </c>
      <c r="I81" s="25" t="str">
        <f t="shared" si="4"/>
        <v>msg.MEM_CALC_FASE_PROJ_MUD</v>
      </c>
    </row>
    <row r="82" spans="1:9" ht="60" customHeight="1" x14ac:dyDescent="0.25">
      <c r="A82" s="25">
        <f t="shared" si="5"/>
        <v>76</v>
      </c>
      <c r="B82" s="2">
        <v>3</v>
      </c>
      <c r="C82" s="5" t="str">
        <f>VLOOKUP(B82,TB_FNX_TIPO_MENSAGEM!$A$7:$B$28,2,FALSE)</f>
        <v>Alerta</v>
      </c>
      <c r="E82" s="25" t="s">
        <v>720</v>
      </c>
      <c r="F82" s="4" t="s">
        <v>721</v>
      </c>
      <c r="H82" s="25" t="str">
        <f t="shared" si="3"/>
        <v>#{msg['msg.MEM_CALC_FASE_PROJ_MUD_SIMULACAO']}</v>
      </c>
      <c r="I82" s="25" t="str">
        <f t="shared" si="4"/>
        <v>msg.MEM_CALC_FASE_PROJ_MUD_SIMULACAO</v>
      </c>
    </row>
    <row r="83" spans="1:9" ht="30" customHeight="1" x14ac:dyDescent="0.25">
      <c r="A83" s="25">
        <f t="shared" si="5"/>
        <v>77</v>
      </c>
      <c r="B83" s="2">
        <v>2</v>
      </c>
      <c r="C83" s="5" t="str">
        <f>VLOOKUP(B83,TB_FNX_TIPO_MENSAGEM!$A$7:$B$28,2,FALSE)</f>
        <v>Erro</v>
      </c>
      <c r="E83" s="25" t="s">
        <v>830</v>
      </c>
      <c r="F83" s="4" t="s">
        <v>831</v>
      </c>
      <c r="G83" s="18" t="s">
        <v>832</v>
      </c>
      <c r="H83" s="25" t="str">
        <f t="shared" si="3"/>
        <v>#{msg['msg.MEM_CALC_ERR_MES_PARCELA']}</v>
      </c>
      <c r="I83" s="25" t="str">
        <f t="shared" si="4"/>
        <v>msg.MEM_CALC_ERR_MES_PARCELA</v>
      </c>
    </row>
    <row r="84" spans="1:9" ht="30" customHeight="1" x14ac:dyDescent="0.25">
      <c r="A84" s="25">
        <f t="shared" si="5"/>
        <v>78</v>
      </c>
      <c r="B84" s="2">
        <v>2</v>
      </c>
      <c r="C84" s="5" t="str">
        <f>VLOOKUP(B84,TB_FNX_TIPO_MENSAGEM!$A$7:$B$28,2,FALSE)</f>
        <v>Erro</v>
      </c>
      <c r="E84" s="25" t="s">
        <v>833</v>
      </c>
      <c r="F84" s="4" t="s">
        <v>834</v>
      </c>
      <c r="G84" s="18" t="s">
        <v>835</v>
      </c>
      <c r="H84" s="25" t="str">
        <f t="shared" si="3"/>
        <v>#{msg['msg.MEM_CALC_ERR_QTDE_MENOR_ZERO']}</v>
      </c>
      <c r="I84" s="25" t="str">
        <f t="shared" si="4"/>
        <v>msg.MEM_CALC_ERR_QTDE_MENOR_ZERO</v>
      </c>
    </row>
    <row r="85" spans="1:9" ht="30" customHeight="1" x14ac:dyDescent="0.25">
      <c r="A85" s="25">
        <f t="shared" si="5"/>
        <v>79</v>
      </c>
      <c r="B85" s="2">
        <v>2</v>
      </c>
      <c r="C85" s="5" t="str">
        <f>VLOOKUP(B85,TB_FNX_TIPO_MENSAGEM!$A$7:$B$28,2,FALSE)</f>
        <v>Erro</v>
      </c>
      <c r="E85" s="25" t="s">
        <v>836</v>
      </c>
      <c r="F85" s="4" t="s">
        <v>837</v>
      </c>
      <c r="G85" s="18" t="s">
        <v>838</v>
      </c>
      <c r="H85" s="25" t="str">
        <f t="shared" si="3"/>
        <v>#{msg['msg.MEM_CALC_ERR_PC_INF_CP_FINAN_MENOR_ZERO']}</v>
      </c>
      <c r="I85" s="25" t="str">
        <f t="shared" si="4"/>
        <v>msg.MEM_CALC_ERR_PC_INF_CP_FINAN_MENOR_ZERO</v>
      </c>
    </row>
    <row r="86" spans="1:9" ht="15" customHeight="1" x14ac:dyDescent="0.25">
      <c r="A86" s="25">
        <f t="shared" si="5"/>
        <v>80</v>
      </c>
      <c r="B86" s="2">
        <v>2</v>
      </c>
      <c r="C86" s="5" t="str">
        <f>VLOOKUP(B86,TB_FNX_TIPO_MENSAGEM!$A$7:$B$28,2,FALSE)</f>
        <v>Erro</v>
      </c>
      <c r="E86" s="25" t="s">
        <v>849</v>
      </c>
      <c r="F86" s="4" t="s">
        <v>847</v>
      </c>
      <c r="G86" s="18" t="s">
        <v>848</v>
      </c>
      <c r="H86" s="25" t="str">
        <f t="shared" si="3"/>
        <v>#{msg['msg.MEM_CALC_VL_NEGATIVO']}</v>
      </c>
      <c r="I86" s="25" t="str">
        <f t="shared" si="4"/>
        <v>msg.MEM_CALC_VL_NEGATIVO</v>
      </c>
    </row>
    <row r="87" spans="1:9" ht="15" customHeight="1" x14ac:dyDescent="0.25">
      <c r="A87" s="25">
        <f t="shared" si="5"/>
        <v>81</v>
      </c>
      <c r="B87" s="2">
        <v>2</v>
      </c>
      <c r="C87" s="5" t="str">
        <f>VLOOKUP(B87,TB_FNX_TIPO_MENSAGEM!$A$7:$B$28,2,FALSE)</f>
        <v>Erro</v>
      </c>
      <c r="E87" s="25" t="s">
        <v>842</v>
      </c>
      <c r="F87" s="4" t="s">
        <v>843</v>
      </c>
      <c r="G87" s="18" t="s">
        <v>844</v>
      </c>
      <c r="H87" s="25" t="str">
        <f t="shared" si="3"/>
        <v>#{msg['msg.MEM_CALC_PC_MENOR_ZERO']}</v>
      </c>
      <c r="I87" s="25" t="str">
        <f t="shared" si="4"/>
        <v>msg.MEM_CALC_PC_MENOR_ZERO</v>
      </c>
    </row>
    <row r="88" spans="1:9" ht="15" customHeight="1" x14ac:dyDescent="0.25">
      <c r="A88" s="25">
        <f t="shared" si="5"/>
        <v>82</v>
      </c>
      <c r="B88" s="2">
        <v>2</v>
      </c>
      <c r="C88" s="5" t="str">
        <f>VLOOKUP(B88,TB_FNX_TIPO_MENSAGEM!$A$7:$B$28,2,FALSE)</f>
        <v>Erro</v>
      </c>
      <c r="E88" s="25" t="s">
        <v>845</v>
      </c>
      <c r="F88" s="4" t="s">
        <v>843</v>
      </c>
      <c r="G88" s="18" t="s">
        <v>846</v>
      </c>
      <c r="H88" s="25" t="str">
        <f t="shared" si="3"/>
        <v>#{msg['msg.MEM_CALC_PC_MAIOR_100']}</v>
      </c>
      <c r="I88" s="25" t="str">
        <f t="shared" si="4"/>
        <v>msg.MEM_CALC_PC_MAIOR_100</v>
      </c>
    </row>
    <row r="89" spans="1:9" x14ac:dyDescent="0.25">
      <c r="A89" s="25">
        <f t="shared" si="5"/>
        <v>83</v>
      </c>
      <c r="B89" s="2">
        <v>2</v>
      </c>
      <c r="C89" s="5" t="str">
        <f>VLOOKUP(B89,TB_FNX_TIPO_MENSAGEM!$A$7:$B$28,2,FALSE)</f>
        <v>Erro</v>
      </c>
      <c r="E89" s="2" t="s">
        <v>850</v>
      </c>
      <c r="F89" s="4" t="s">
        <v>847</v>
      </c>
      <c r="G89" s="18" t="s">
        <v>851</v>
      </c>
      <c r="H89" s="25" t="str">
        <f t="shared" si="3"/>
        <v>#{msg['msg.MEM_CALC_PC_CALC_MAIOR_100']}</v>
      </c>
      <c r="I89" s="25" t="str">
        <f t="shared" si="4"/>
        <v>msg.MEM_CALC_PC_CALC_MAIOR_100</v>
      </c>
    </row>
    <row r="90" spans="1:9" ht="30" x14ac:dyDescent="0.25">
      <c r="A90" s="25">
        <f t="shared" si="5"/>
        <v>84</v>
      </c>
      <c r="B90" s="2">
        <v>2</v>
      </c>
      <c r="C90" s="5" t="str">
        <f>VLOOKUP(B90,TB_FNX_TIPO_MENSAGEM!$A$7:$B$28,2,FALSE)</f>
        <v>Erro</v>
      </c>
      <c r="E90" s="2" t="s">
        <v>852</v>
      </c>
      <c r="F90" s="4" t="s">
        <v>853</v>
      </c>
      <c r="H90" s="25" t="str">
        <f t="shared" si="3"/>
        <v>#{msg['msg.MEM_CALC_PROJETO_SEM_COPIA']}</v>
      </c>
      <c r="I90" s="25" t="str">
        <f t="shared" si="4"/>
        <v>msg.MEM_CALC_PROJETO_SEM_COPIA</v>
      </c>
    </row>
    <row r="91" spans="1:9" x14ac:dyDescent="0.25">
      <c r="A91" s="25">
        <f t="shared" si="5"/>
        <v>85</v>
      </c>
      <c r="B91" s="2">
        <v>2</v>
      </c>
      <c r="C91" s="5" t="str">
        <f>VLOOKUP(B91,TB_FNX_TIPO_MENSAGEM!$A$7:$B$28,2,FALSE)</f>
        <v>Erro</v>
      </c>
      <c r="E91" s="2" t="s">
        <v>887</v>
      </c>
      <c r="F91" s="4" t="s">
        <v>847</v>
      </c>
      <c r="G91" s="18" t="s">
        <v>888</v>
      </c>
      <c r="H91" s="25" t="str">
        <f t="shared" si="3"/>
        <v>#{msg['msg.MEM_CALC_APENAS_INTEIROS']}</v>
      </c>
      <c r="I91" s="25" t="str">
        <f t="shared" si="4"/>
        <v>msg.MEM_CALC_APENAS_INTEIROS</v>
      </c>
    </row>
    <row r="92" spans="1:9" ht="30" x14ac:dyDescent="0.25">
      <c r="A92" s="25">
        <f t="shared" si="5"/>
        <v>86</v>
      </c>
      <c r="B92" s="2">
        <v>2</v>
      </c>
      <c r="C92" s="5" t="str">
        <f>VLOOKUP(B92,TB_FNX_TIPO_MENSAGEM!$A$7:$B$28,2,FALSE)</f>
        <v>Erro</v>
      </c>
      <c r="E92" s="2" t="s">
        <v>881</v>
      </c>
      <c r="F92" s="4" t="s">
        <v>882</v>
      </c>
      <c r="H92" s="25" t="str">
        <f t="shared" si="3"/>
        <v>#{msg['msg.ERR_NAO_PODE_INCLUIR_PARCELA']}</v>
      </c>
      <c r="I92" s="25" t="str">
        <f t="shared" si="4"/>
        <v>msg.ERR_NAO_PODE_INCLUIR_PARCELA</v>
      </c>
    </row>
    <row r="93" spans="1:9" x14ac:dyDescent="0.25">
      <c r="A93" s="25">
        <f t="shared" si="5"/>
        <v>87</v>
      </c>
      <c r="B93" s="2">
        <v>2</v>
      </c>
      <c r="C93" s="5" t="str">
        <f>VLOOKUP(B93,TB_FNX_TIPO_MENSAGEM!$A$7:$B$28,2,FALSE)</f>
        <v>Erro</v>
      </c>
      <c r="E93" s="2" t="s">
        <v>883</v>
      </c>
      <c r="F93" s="4" t="s">
        <v>884</v>
      </c>
      <c r="G93" s="18" t="s">
        <v>897</v>
      </c>
      <c r="H93" s="25" t="str">
        <f t="shared" si="3"/>
        <v>#{msg['msg.ERR_PROJETO_NAO_CONVENIO']}</v>
      </c>
      <c r="I93" s="25" t="str">
        <f t="shared" si="4"/>
        <v>msg.ERR_PROJETO_NAO_CONVENIO</v>
      </c>
    </row>
    <row r="94" spans="1:9" x14ac:dyDescent="0.25">
      <c r="A94" s="25">
        <f t="shared" si="5"/>
        <v>88</v>
      </c>
      <c r="B94" s="2">
        <v>3</v>
      </c>
      <c r="C94" s="5" t="str">
        <f>VLOOKUP(B94,TB_FNX_TIPO_MENSAGEM!$A$7:$B$28,2,FALSE)</f>
        <v>Alerta</v>
      </c>
      <c r="E94" s="2" t="s">
        <v>885</v>
      </c>
      <c r="F94" s="4" t="s">
        <v>886</v>
      </c>
      <c r="G94" s="18" t="s">
        <v>853</v>
      </c>
      <c r="H94" s="25" t="str">
        <f t="shared" si="3"/>
        <v>#{msg['msg.ERR_PROJETO_SEM_COPIA']}</v>
      </c>
      <c r="I94" s="25" t="str">
        <f t="shared" si="4"/>
        <v>msg.ERR_PROJETO_SEM_COPIA</v>
      </c>
    </row>
    <row r="95" spans="1:9" x14ac:dyDescent="0.25">
      <c r="A95" s="25">
        <f t="shared" si="5"/>
        <v>89</v>
      </c>
      <c r="B95" s="2">
        <v>5</v>
      </c>
      <c r="C95" s="5" t="str">
        <f>VLOOKUP(B95,TB_FNX_TIPO_MENSAGEM!$A$7:$B$28,2,FALSE)</f>
        <v>Confirmação</v>
      </c>
      <c r="E95" s="2" t="s">
        <v>895</v>
      </c>
      <c r="F95" s="4" t="s">
        <v>896</v>
      </c>
      <c r="G95" s="4" t="s">
        <v>898</v>
      </c>
      <c r="H95" s="25" t="str">
        <f t="shared" si="3"/>
        <v>#{msg['msg.PARCELA_INCLUIDA']}</v>
      </c>
      <c r="I95" s="25" t="str">
        <f t="shared" si="4"/>
        <v>msg.PARCELA_INCLUIDA</v>
      </c>
    </row>
    <row r="96" spans="1:9" x14ac:dyDescent="0.25">
      <c r="A96" s="25">
        <f t="shared" si="5"/>
        <v>90</v>
      </c>
      <c r="B96" s="2">
        <v>5</v>
      </c>
      <c r="C96" s="5" t="str">
        <f>VLOOKUP(B96,TB_FNX_TIPO_MENSAGEM!$A$7:$B$28,2,FALSE)</f>
        <v>Confirmação</v>
      </c>
      <c r="E96" s="2" t="s">
        <v>906</v>
      </c>
      <c r="F96" s="4" t="s">
        <v>105</v>
      </c>
      <c r="G96" s="4" t="s">
        <v>1242</v>
      </c>
      <c r="H96" s="25" t="str">
        <f t="shared" si="3"/>
        <v>#{msg['msg.PRESTACAO_CONTA_INCLUIDA']}</v>
      </c>
      <c r="I96" s="25" t="str">
        <f t="shared" si="4"/>
        <v>msg.PRESTACAO_CONTA_INCLUIDA</v>
      </c>
    </row>
    <row r="97" spans="1:9" x14ac:dyDescent="0.25">
      <c r="A97" s="25">
        <f t="shared" si="5"/>
        <v>91</v>
      </c>
      <c r="B97" s="2">
        <v>2</v>
      </c>
      <c r="C97" s="5" t="str">
        <f>VLOOKUP(B97,TB_FNX_TIPO_MENSAGEM!$A$7:$B$28,2,FALSE)</f>
        <v>Erro</v>
      </c>
      <c r="E97" s="2" t="s">
        <v>1082</v>
      </c>
      <c r="F97" s="4" t="s">
        <v>1080</v>
      </c>
      <c r="G97" s="4" t="s">
        <v>1243</v>
      </c>
      <c r="H97" s="25" t="str">
        <f t="shared" si="3"/>
        <v>#{msg['msg.ERR_PC_REQUERIDA']}</v>
      </c>
      <c r="I97" s="25" t="str">
        <f t="shared" si="4"/>
        <v>msg.ERR_PC_REQUERIDA</v>
      </c>
    </row>
    <row r="98" spans="1:9" x14ac:dyDescent="0.25">
      <c r="A98" s="25">
        <f t="shared" si="5"/>
        <v>92</v>
      </c>
      <c r="B98" s="2">
        <v>2</v>
      </c>
      <c r="C98" s="5" t="str">
        <f>VLOOKUP(B98,TB_FNX_TIPO_MENSAGEM!$A$7:$B$28,2,FALSE)</f>
        <v>Erro</v>
      </c>
      <c r="E98" s="2" t="s">
        <v>1083</v>
      </c>
      <c r="F98" s="4" t="s">
        <v>1086</v>
      </c>
      <c r="G98" s="4" t="s">
        <v>1244</v>
      </c>
      <c r="H98" s="25" t="str">
        <f t="shared" si="3"/>
        <v>#{msg['msg.ERR_PC_DT_FINAL_NAO_INFORMADA']}</v>
      </c>
      <c r="I98" s="25" t="str">
        <f t="shared" si="4"/>
        <v>msg.ERR_PC_DT_FINAL_NAO_INFORMADA</v>
      </c>
    </row>
    <row r="99" spans="1:9" x14ac:dyDescent="0.25">
      <c r="A99" s="25">
        <f t="shared" si="5"/>
        <v>93</v>
      </c>
      <c r="B99" s="2">
        <v>2</v>
      </c>
      <c r="C99" s="5" t="str">
        <f>VLOOKUP(B99,TB_FNX_TIPO_MENSAGEM!$A$7:$B$28,2,FALSE)</f>
        <v>Erro</v>
      </c>
      <c r="E99" s="2" t="s">
        <v>1084</v>
      </c>
      <c r="F99" s="4" t="s">
        <v>1086</v>
      </c>
      <c r="G99" s="4" t="s">
        <v>1245</v>
      </c>
      <c r="H99" s="25" t="str">
        <f t="shared" si="3"/>
        <v>#{msg['msg.ERR_PC_DT_FINAL_MAIOR_DT_PROJETO']}</v>
      </c>
      <c r="I99" s="25" t="str">
        <f t="shared" si="4"/>
        <v>msg.ERR_PC_DT_FINAL_MAIOR_DT_PROJETO</v>
      </c>
    </row>
    <row r="100" spans="1:9" x14ac:dyDescent="0.25">
      <c r="A100" s="25">
        <f t="shared" si="5"/>
        <v>94</v>
      </c>
      <c r="B100" s="2">
        <v>2</v>
      </c>
      <c r="C100" s="5" t="str">
        <f>VLOOKUP(B100,TB_FNX_TIPO_MENSAGEM!$A$7:$B$28,2,FALSE)</f>
        <v>Erro</v>
      </c>
      <c r="E100" s="2" t="s">
        <v>1085</v>
      </c>
      <c r="F100" s="4" t="s">
        <v>1081</v>
      </c>
      <c r="G100" s="4"/>
      <c r="H100" s="25" t="str">
        <f t="shared" si="3"/>
        <v>#{msg['msg.COMPOSICAO_EFETUADA']}</v>
      </c>
      <c r="I100" s="25" t="str">
        <f t="shared" si="4"/>
        <v>msg.COMPOSICAO_EFETUADA</v>
      </c>
    </row>
    <row r="101" spans="1:9" x14ac:dyDescent="0.25">
      <c r="A101" s="25">
        <f t="shared" si="5"/>
        <v>95</v>
      </c>
      <c r="B101" s="2">
        <v>2</v>
      </c>
      <c r="C101" s="5" t="str">
        <f>VLOOKUP(B101,TB_FNX_TIPO_MENSAGEM!$A$7:$B$28,2,FALSE)</f>
        <v>Erro</v>
      </c>
      <c r="E101" s="2" t="s">
        <v>1107</v>
      </c>
      <c r="F101" s="4" t="s">
        <v>1108</v>
      </c>
      <c r="G101" s="18" t="s">
        <v>1246</v>
      </c>
      <c r="H101" s="25" t="str">
        <f t="shared" si="3"/>
        <v>#{msg['msg.ERR_PC_ARQUIVO_NAO_SELECIONADO']}</v>
      </c>
      <c r="I101" s="25" t="str">
        <f t="shared" si="4"/>
        <v>msg.ERR_PC_ARQUIVO_NAO_SELECIONADO</v>
      </c>
    </row>
    <row r="102" spans="1:9" ht="30" x14ac:dyDescent="0.25">
      <c r="A102" s="25">
        <f t="shared" si="5"/>
        <v>96</v>
      </c>
      <c r="B102" s="2">
        <v>2</v>
      </c>
      <c r="C102" s="5" t="str">
        <f>VLOOKUP(B102,TB_FNX_TIPO_MENSAGEM!$A$7:$B$28,2,FALSE)</f>
        <v>Erro</v>
      </c>
      <c r="E102" s="2" t="s">
        <v>1110</v>
      </c>
      <c r="F102" s="4" t="s">
        <v>1109</v>
      </c>
      <c r="G102" s="18" t="s">
        <v>1111</v>
      </c>
      <c r="H102" s="25" t="str">
        <f t="shared" si="3"/>
        <v>#{msg['msg.ERR_PC_INCLUSAO']}</v>
      </c>
      <c r="I102" s="25" t="str">
        <f t="shared" si="4"/>
        <v>msg.ERR_PC_INCLUSAO</v>
      </c>
    </row>
    <row r="103" spans="1:9" x14ac:dyDescent="0.25">
      <c r="A103" s="25">
        <f t="shared" si="5"/>
        <v>97</v>
      </c>
      <c r="B103" s="2">
        <v>2</v>
      </c>
      <c r="C103" s="5" t="str">
        <f>VLOOKUP(B103,TB_FNX_TIPO_MENSAGEM!$A$7:$B$28,2,FALSE)</f>
        <v>Erro</v>
      </c>
      <c r="E103" s="2" t="s">
        <v>1137</v>
      </c>
      <c r="F103" s="4" t="s">
        <v>1109</v>
      </c>
      <c r="G103" s="18" t="s">
        <v>1247</v>
      </c>
      <c r="H103" s="25" t="str">
        <f t="shared" si="3"/>
        <v>#{msg['msg.ERR_PC_DT_FIM_INVALIDA']}</v>
      </c>
      <c r="I103" s="25" t="str">
        <f t="shared" si="4"/>
        <v>msg.ERR_PC_DT_FIM_INVALIDA</v>
      </c>
    </row>
    <row r="104" spans="1:9" x14ac:dyDescent="0.25">
      <c r="A104" s="25">
        <f t="shared" si="5"/>
        <v>98</v>
      </c>
      <c r="B104" s="2">
        <v>2</v>
      </c>
      <c r="C104" s="5" t="str">
        <f>VLOOKUP(B104,TB_FNX_TIPO_MENSAGEM!$A$7:$B$28,2,FALSE)</f>
        <v>Erro</v>
      </c>
      <c r="E104" s="2" t="s">
        <v>1138</v>
      </c>
      <c r="F104" s="4" t="s">
        <v>1139</v>
      </c>
      <c r="G104" s="18" t="s">
        <v>1241</v>
      </c>
      <c r="H104" s="25" t="str">
        <f t="shared" si="3"/>
        <v>#{msg['msg.ERR_VALOR_INVALIDO']}</v>
      </c>
      <c r="I104" s="25" t="str">
        <f t="shared" si="4"/>
        <v>msg.ERR_VALOR_INVALIDO</v>
      </c>
    </row>
    <row r="105" spans="1:9" x14ac:dyDescent="0.25">
      <c r="A105" s="25">
        <f t="shared" si="5"/>
        <v>99</v>
      </c>
      <c r="B105" s="2">
        <v>2</v>
      </c>
      <c r="C105" s="5" t="str">
        <f>VLOOKUP(B105,TB_FNX_TIPO_MENSAGEM!$A$7:$B$28,2,FALSE)</f>
        <v>Erro</v>
      </c>
      <c r="E105" s="2" t="s">
        <v>1248</v>
      </c>
      <c r="F105" s="4" t="s">
        <v>1239</v>
      </c>
      <c r="G105" s="18" t="s">
        <v>1240</v>
      </c>
      <c r="H105" s="25" t="str">
        <f t="shared" si="3"/>
        <v>#{msg['msg.ERR_PARAM_NAO_INFORMADO']}</v>
      </c>
      <c r="I105" s="25" t="str">
        <f t="shared" si="4"/>
        <v>msg.ERR_PARAM_NAO_INFORMADO</v>
      </c>
    </row>
    <row r="106" spans="1:9" x14ac:dyDescent="0.25">
      <c r="A106" s="25">
        <f t="shared" si="5"/>
        <v>100</v>
      </c>
      <c r="B106" s="2">
        <v>2</v>
      </c>
      <c r="C106" s="5" t="str">
        <f>VLOOKUP(B106,TB_FNX_TIPO_MENSAGEM!$A$7:$B$28,2,FALSE)</f>
        <v>Erro</v>
      </c>
      <c r="E106" s="25" t="s">
        <v>1251</v>
      </c>
      <c r="F106" s="4" t="s">
        <v>1250</v>
      </c>
      <c r="G106" s="18" t="s">
        <v>1249</v>
      </c>
      <c r="H106" s="25" t="str">
        <f t="shared" si="3"/>
        <v>#{msg['msg.ERR_PC_SEM_LANCAMENTOS']}</v>
      </c>
      <c r="I106" s="25" t="str">
        <f t="shared" si="4"/>
        <v>msg.ERR_PC_SEM_LANCAMENTOS</v>
      </c>
    </row>
    <row r="107" spans="1:9" x14ac:dyDescent="0.25">
      <c r="A107" s="25">
        <f t="shared" si="5"/>
        <v>101</v>
      </c>
      <c r="B107" s="2">
        <v>2</v>
      </c>
      <c r="C107" s="5" t="str">
        <f>VLOOKUP(B107,TB_FNX_TIPO_MENSAGEM!$A$7:$B$28,2,FALSE)</f>
        <v>Erro</v>
      </c>
      <c r="E107" s="25" t="s">
        <v>1253</v>
      </c>
      <c r="F107" s="4" t="s">
        <v>1109</v>
      </c>
      <c r="G107" s="18" t="s">
        <v>1252</v>
      </c>
      <c r="H107" s="25" t="str">
        <f t="shared" si="3"/>
        <v>#{msg['msg.ERR_PC_SEM_DT_INICIO']}</v>
      </c>
      <c r="I107" s="25" t="str">
        <f t="shared" si="4"/>
        <v>msg.ERR_PC_SEM_DT_INICIO</v>
      </c>
    </row>
    <row r="108" spans="1:9" ht="12.75" customHeight="1" x14ac:dyDescent="0.25">
      <c r="A108" s="25">
        <f t="shared" si="5"/>
        <v>102</v>
      </c>
      <c r="B108" s="2">
        <v>2</v>
      </c>
      <c r="C108" s="5" t="str">
        <f>VLOOKUP(B108,TB_FNX_TIPO_MENSAGEM!$A$7:$B$28,2,FALSE)</f>
        <v>Erro</v>
      </c>
      <c r="E108" s="2" t="s">
        <v>1255</v>
      </c>
      <c r="F108" s="4" t="s">
        <v>1109</v>
      </c>
      <c r="G108" s="18" t="s">
        <v>1254</v>
      </c>
      <c r="H108" s="25" t="str">
        <f t="shared" si="3"/>
        <v>#{msg['msg.ERR_PC_LIMITE_EXCEDIDO']}</v>
      </c>
      <c r="I108" s="25" t="str">
        <f t="shared" si="4"/>
        <v>msg.ERR_PC_LIMITE_EXCEDIDO</v>
      </c>
    </row>
    <row r="109" spans="1:9" ht="30" x14ac:dyDescent="0.25">
      <c r="A109" s="25">
        <f t="shared" si="5"/>
        <v>103</v>
      </c>
      <c r="B109" s="2">
        <v>2</v>
      </c>
      <c r="C109" s="5" t="str">
        <f>VLOOKUP(B109,TB_FNX_TIPO_MENSAGEM!$A$7:$B$28,2,FALSE)</f>
        <v>Erro</v>
      </c>
      <c r="E109" s="2" t="s">
        <v>1277</v>
      </c>
      <c r="F109" s="4" t="s">
        <v>1260</v>
      </c>
      <c r="G109" s="4" t="s">
        <v>1278</v>
      </c>
      <c r="H109" s="25" t="str">
        <f t="shared" si="3"/>
        <v>#{msg['msg.ERR_GST_FIN_SOLIC_NEGADA']}</v>
      </c>
      <c r="I109" s="25" t="str">
        <f t="shared" si="4"/>
        <v>msg.ERR_GST_FIN_SOLIC_NEGADA</v>
      </c>
    </row>
    <row r="110" spans="1:9" ht="30" x14ac:dyDescent="0.25">
      <c r="A110" s="25">
        <f t="shared" si="5"/>
        <v>104</v>
      </c>
      <c r="B110" s="2">
        <v>5</v>
      </c>
      <c r="C110" s="5" t="str">
        <f>VLOOKUP(B110,TB_FNX_TIPO_MENSAGEM!$A$7:$B$28,2,FALSE)</f>
        <v>Confirmação</v>
      </c>
      <c r="E110" s="2" t="s">
        <v>1262</v>
      </c>
      <c r="F110" s="4" t="s">
        <v>1261</v>
      </c>
      <c r="H110" s="25" t="str">
        <f t="shared" si="3"/>
        <v>#{msg['msg.GST_FIN_SOLICIT_ENVIADA']}</v>
      </c>
      <c r="I110" s="25" t="str">
        <f t="shared" si="4"/>
        <v>msg.GST_FIN_SOLICIT_ENVIADA</v>
      </c>
    </row>
    <row r="111" spans="1:9" x14ac:dyDescent="0.25">
      <c r="A111" s="25">
        <f t="shared" si="5"/>
        <v>105</v>
      </c>
      <c r="B111" s="2">
        <v>2</v>
      </c>
      <c r="C111" s="2" t="s">
        <v>27</v>
      </c>
      <c r="E111" s="2" t="s">
        <v>1281</v>
      </c>
      <c r="F111" s="4" t="s">
        <v>1279</v>
      </c>
      <c r="G111" s="18" t="s">
        <v>1280</v>
      </c>
      <c r="H111" s="25" t="str">
        <f t="shared" si="3"/>
        <v>#{msg['msg.ERR_GST_FIN_SEM_LANCAMENTO']}</v>
      </c>
      <c r="I111" s="25" t="str">
        <f t="shared" si="4"/>
        <v>msg.ERR_GST_FIN_SEM_LANCAMENTO</v>
      </c>
    </row>
    <row r="112" spans="1:9" ht="30" x14ac:dyDescent="0.25">
      <c r="A112" s="25">
        <f t="shared" si="5"/>
        <v>106</v>
      </c>
      <c r="B112" s="2">
        <v>2</v>
      </c>
      <c r="C112" s="2" t="s">
        <v>27</v>
      </c>
      <c r="E112" s="2" t="s">
        <v>1298</v>
      </c>
      <c r="F112" s="4" t="s">
        <v>1301</v>
      </c>
      <c r="G112" s="18" t="s">
        <v>1297</v>
      </c>
      <c r="H112" s="25" t="str">
        <f t="shared" si="3"/>
        <v>#{msg['msg.ERR_PC_CHECAR_PENDENCIA']}</v>
      </c>
      <c r="I112" s="25" t="str">
        <f t="shared" si="4"/>
        <v>msg.ERR_PC_CHECAR_PENDENCIA</v>
      </c>
    </row>
    <row r="113" spans="1:9" x14ac:dyDescent="0.25">
      <c r="A113" s="25">
        <f t="shared" si="5"/>
        <v>107</v>
      </c>
      <c r="B113" s="2">
        <v>2</v>
      </c>
      <c r="C113" s="2" t="s">
        <v>27</v>
      </c>
      <c r="E113" s="2" t="s">
        <v>1303</v>
      </c>
      <c r="F113" s="4" t="s">
        <v>1300</v>
      </c>
      <c r="G113" s="18" t="s">
        <v>1299</v>
      </c>
      <c r="H113" s="25" t="str">
        <f t="shared" si="3"/>
        <v>#{msg['msg.ERR_PC_PENDENCIA_IMPEDITIVA']}</v>
      </c>
      <c r="I113" s="25" t="str">
        <f t="shared" si="4"/>
        <v>msg.ERR_PC_PENDENCIA_IMPEDITIVA</v>
      </c>
    </row>
    <row r="114" spans="1:9" x14ac:dyDescent="0.25">
      <c r="A114" s="25">
        <f t="shared" si="5"/>
        <v>108</v>
      </c>
      <c r="B114" s="2">
        <v>2</v>
      </c>
      <c r="C114" s="2" t="s">
        <v>27</v>
      </c>
      <c r="E114" s="2" t="s">
        <v>1304</v>
      </c>
      <c r="F114" s="4" t="s">
        <v>1300</v>
      </c>
      <c r="G114" s="18" t="s">
        <v>1302</v>
      </c>
      <c r="H114" s="25" t="str">
        <f t="shared" si="3"/>
        <v>#{msg['msg.ERR_PC_VALOR_INDEFINIDO']}</v>
      </c>
      <c r="I114" s="25" t="str">
        <f t="shared" si="4"/>
        <v>msg.ERR_PC_VALOR_INDEFINIDO</v>
      </c>
    </row>
    <row r="115" spans="1:9" ht="60" x14ac:dyDescent="0.25">
      <c r="A115" s="25">
        <f t="shared" si="5"/>
        <v>109</v>
      </c>
      <c r="B115" s="2">
        <v>5</v>
      </c>
      <c r="C115" s="5" t="str">
        <f>VLOOKUP(B115,TB_FNX_TIPO_MENSAGEM!$A$7:$B$28,2,FALSE)</f>
        <v>Confirmação</v>
      </c>
      <c r="E115" s="2" t="s">
        <v>1306</v>
      </c>
      <c r="F115" s="4" t="s">
        <v>1305</v>
      </c>
      <c r="G115" s="18" t="s">
        <v>1305</v>
      </c>
      <c r="H115" s="25" t="str">
        <f t="shared" si="3"/>
        <v>#{msg['msg.PC_CONFIRMAR_ENVIO']}</v>
      </c>
      <c r="I115" s="25" t="str">
        <f t="shared" si="4"/>
        <v>msg.PC_CONFIRMAR_ENVIO</v>
      </c>
    </row>
    <row r="116" spans="1:9" x14ac:dyDescent="0.25">
      <c r="A116" s="25">
        <f t="shared" si="5"/>
        <v>110</v>
      </c>
      <c r="B116" s="2">
        <v>2</v>
      </c>
      <c r="C116" s="2" t="s">
        <v>27</v>
      </c>
      <c r="E116" s="2" t="s">
        <v>1308</v>
      </c>
      <c r="F116" s="4" t="s">
        <v>1279</v>
      </c>
      <c r="G116" s="18" t="s">
        <v>1307</v>
      </c>
      <c r="H116" s="25" t="str">
        <f t="shared" si="3"/>
        <v>#{msg['msg.ERR_PC_DTFINAL_MENOR']}</v>
      </c>
      <c r="I116" s="25" t="str">
        <f t="shared" si="4"/>
        <v>msg.ERR_PC_DTFINAL_MENOR</v>
      </c>
    </row>
    <row r="117" spans="1:9" ht="30" x14ac:dyDescent="0.25">
      <c r="A117" s="25">
        <f t="shared" si="5"/>
        <v>111</v>
      </c>
      <c r="B117" s="2">
        <v>2</v>
      </c>
      <c r="C117" s="2" t="s">
        <v>27</v>
      </c>
      <c r="E117" s="2" t="s">
        <v>1309</v>
      </c>
      <c r="F117" s="4" t="s">
        <v>1310</v>
      </c>
      <c r="H117" s="25" t="str">
        <f t="shared" si="3"/>
        <v>#{msg['msg.ERR_EXISTE_ACAO_CANCELADA']}</v>
      </c>
      <c r="I117" s="25" t="str">
        <f t="shared" si="4"/>
        <v>msg.ERR_EXISTE_ACAO_CANCELADA</v>
      </c>
    </row>
    <row r="118" spans="1:9" x14ac:dyDescent="0.25">
      <c r="A118" s="25">
        <f t="shared" si="5"/>
        <v>112</v>
      </c>
      <c r="B118" s="2">
        <v>3</v>
      </c>
      <c r="C118" s="5" t="str">
        <f>VLOOKUP(B118,TB_FNX_TIPO_MENSAGEM!$A$7:$B$28,2,FALSE)</f>
        <v>Alerta</v>
      </c>
      <c r="E118" s="2" t="s">
        <v>1311</v>
      </c>
      <c r="F118" s="4" t="s">
        <v>1312</v>
      </c>
      <c r="G118" s="18" t="s">
        <v>1313</v>
      </c>
      <c r="H118" s="25" t="str">
        <f t="shared" si="3"/>
        <v>#{msg['msg.PC_SEM_PENDENCIA']}</v>
      </c>
      <c r="I118" s="25" t="str">
        <f t="shared" si="4"/>
        <v>msg.PC_SEM_PENDENCIA</v>
      </c>
    </row>
    <row r="119" spans="1:9" x14ac:dyDescent="0.25">
      <c r="A119" s="25">
        <f t="shared" si="5"/>
        <v>113</v>
      </c>
      <c r="B119" s="2">
        <v>2</v>
      </c>
      <c r="C119" s="5" t="str">
        <f>VLOOKUP(B119,TB_FNX_TIPO_MENSAGEM!$A$7:$B$28,2,FALSE)</f>
        <v>Erro</v>
      </c>
      <c r="E119" s="2" t="s">
        <v>1357</v>
      </c>
      <c r="F119" s="4" t="s">
        <v>1312</v>
      </c>
      <c r="G119" s="18" t="s">
        <v>1333</v>
      </c>
      <c r="H119" s="25" t="str">
        <f t="shared" si="3"/>
        <v>#{msg['msg.ERR_PC_CHECAR_SEM_LANC']}</v>
      </c>
      <c r="I119" s="25" t="str">
        <f t="shared" si="4"/>
        <v>msg.ERR_PC_CHECAR_SEM_LANC</v>
      </c>
    </row>
    <row r="120" spans="1:9" x14ac:dyDescent="0.25">
      <c r="A120" s="25">
        <f t="shared" si="5"/>
        <v>114</v>
      </c>
      <c r="B120" s="2">
        <v>2</v>
      </c>
      <c r="C120" s="5" t="str">
        <f>VLOOKUP(B120,TB_FNX_TIPO_MENSAGEM!$A$7:$B$28,2,FALSE)</f>
        <v>Erro</v>
      </c>
      <c r="E120" s="2" t="s">
        <v>1334</v>
      </c>
      <c r="F120" s="4" t="s">
        <v>1335</v>
      </c>
      <c r="G120" s="18" t="s">
        <v>1307</v>
      </c>
      <c r="H120" s="25" t="str">
        <f t="shared" si="3"/>
        <v>#{msg['msg.ERR_PC_FILTRAR_LANCAMENTO']}</v>
      </c>
      <c r="I120" s="25" t="str">
        <f t="shared" si="4"/>
        <v>msg.ERR_PC_FILTRAR_LANCAMENTO</v>
      </c>
    </row>
    <row r="121" spans="1:9" x14ac:dyDescent="0.25">
      <c r="A121" s="25">
        <f t="shared" si="5"/>
        <v>115</v>
      </c>
      <c r="B121" s="2">
        <v>2</v>
      </c>
      <c r="C121" s="5" t="str">
        <f>VLOOKUP(B121,TB_FNX_TIPO_MENSAGEM!$A$7:$B$28,2,FALSE)</f>
        <v>Erro</v>
      </c>
      <c r="E121" s="2" t="s">
        <v>1336</v>
      </c>
      <c r="F121" s="4" t="s">
        <v>1337</v>
      </c>
      <c r="H121" s="25" t="str">
        <f t="shared" si="3"/>
        <v>#{msg['msg.ERR_LEITURA_ARQUIVO']}</v>
      </c>
      <c r="I121" s="25" t="str">
        <f t="shared" si="4"/>
        <v>msg.ERR_LEITURA_ARQUIVO</v>
      </c>
    </row>
    <row r="122" spans="1:9" x14ac:dyDescent="0.25">
      <c r="A122" s="25">
        <f t="shared" si="5"/>
        <v>116</v>
      </c>
      <c r="B122" s="2">
        <v>2</v>
      </c>
      <c r="C122" s="5" t="str">
        <f>VLOOKUP(B122,TB_FNX_TIPO_MENSAGEM!$A$7:$B$28,2,FALSE)</f>
        <v>Erro</v>
      </c>
      <c r="E122" s="2" t="s">
        <v>1339</v>
      </c>
      <c r="F122" s="4" t="s">
        <v>1337</v>
      </c>
      <c r="G122" s="18" t="s">
        <v>1338</v>
      </c>
      <c r="H122" s="25" t="str">
        <f t="shared" si="3"/>
        <v>#{msg['msg.ERR_TIPO_ARQ_INCORRETO']}</v>
      </c>
      <c r="I122" s="25" t="str">
        <f t="shared" si="4"/>
        <v>msg.ERR_TIPO_ARQ_INCORRETO</v>
      </c>
    </row>
    <row r="123" spans="1:9" x14ac:dyDescent="0.25">
      <c r="A123" s="25">
        <f t="shared" si="5"/>
        <v>117</v>
      </c>
      <c r="B123" s="2">
        <v>2</v>
      </c>
      <c r="C123" s="5" t="str">
        <f>VLOOKUP(B123,TB_FNX_TIPO_MENSAGEM!$A$7:$B$28,2,FALSE)</f>
        <v>Erro</v>
      </c>
      <c r="E123" s="2" t="s">
        <v>1341</v>
      </c>
      <c r="F123" s="4" t="s">
        <v>1337</v>
      </c>
      <c r="G123" s="18" t="s">
        <v>1340</v>
      </c>
      <c r="H123" s="25" t="str">
        <f t="shared" si="3"/>
        <v>#{msg['msg.ERR_NOME_ARQ_INVALIDO']}</v>
      </c>
      <c r="I123" s="25" t="str">
        <f t="shared" si="4"/>
        <v>msg.ERR_NOME_ARQ_INVALIDO</v>
      </c>
    </row>
    <row r="124" spans="1:9" x14ac:dyDescent="0.25">
      <c r="A124" s="25">
        <f t="shared" si="5"/>
        <v>118</v>
      </c>
      <c r="B124" s="2">
        <v>2</v>
      </c>
      <c r="C124" s="5" t="str">
        <f>VLOOKUP(B124,TB_FNX_TIPO_MENSAGEM!$A$7:$B$28,2,FALSE)</f>
        <v>Erro</v>
      </c>
      <c r="E124" s="2" t="s">
        <v>1344</v>
      </c>
      <c r="F124" s="4" t="s">
        <v>1342</v>
      </c>
      <c r="H124" s="25" t="str">
        <f t="shared" si="3"/>
        <v>#{msg['msg.ERR_EXCLUIR_DOC']}</v>
      </c>
      <c r="I124" s="25" t="str">
        <f t="shared" si="4"/>
        <v>msg.ERR_EXCLUIR_DOC</v>
      </c>
    </row>
    <row r="125" spans="1:9" x14ac:dyDescent="0.25">
      <c r="A125" s="25">
        <f t="shared" si="5"/>
        <v>119</v>
      </c>
      <c r="B125" s="2">
        <v>2</v>
      </c>
      <c r="C125" s="5" t="str">
        <f>VLOOKUP(B125,TB_FNX_TIPO_MENSAGEM!$A$7:$B$28,2,FALSE)</f>
        <v>Erro</v>
      </c>
      <c r="E125" s="2" t="s">
        <v>1345</v>
      </c>
      <c r="F125" s="4" t="s">
        <v>1342</v>
      </c>
      <c r="G125" s="18" t="s">
        <v>1343</v>
      </c>
      <c r="H125" s="25" t="str">
        <f t="shared" si="3"/>
        <v>#{msg['msg.ERR_EXCLUIR_DOC_LEITURA']}</v>
      </c>
      <c r="I125" s="25" t="str">
        <f t="shared" si="4"/>
        <v>msg.ERR_EXCLUIR_DOC_LEITURA</v>
      </c>
    </row>
    <row r="126" spans="1:9" x14ac:dyDescent="0.25">
      <c r="A126" s="25">
        <f t="shared" si="5"/>
        <v>120</v>
      </c>
      <c r="B126" s="2">
        <v>5</v>
      </c>
      <c r="C126" s="5" t="str">
        <f>VLOOKUP(B126,TB_FNX_TIPO_MENSAGEM!$A$7:$B$28,2,FALSE)</f>
        <v>Confirmação</v>
      </c>
      <c r="E126" s="2" t="s">
        <v>1347</v>
      </c>
      <c r="F126" s="4" t="s">
        <v>1346</v>
      </c>
      <c r="H126" s="25" t="str">
        <f t="shared" si="3"/>
        <v>#{msg['msg.PC_DOCUMENTO_EXCLUIDO']}</v>
      </c>
      <c r="I126" s="25" t="str">
        <f t="shared" si="4"/>
        <v>msg.PC_DOCUMENTO_EXCLUIDO</v>
      </c>
    </row>
    <row r="127" spans="1:9" x14ac:dyDescent="0.25">
      <c r="A127" s="25">
        <f t="shared" si="5"/>
        <v>121</v>
      </c>
      <c r="B127" s="2">
        <v>2</v>
      </c>
      <c r="C127" s="27" t="str">
        <f>VLOOKUP(B127,TB_FNX_TIPO_MENSAGEM!$A$7:$B$28,2,FALSE)</f>
        <v>Erro</v>
      </c>
      <c r="E127" s="2" t="s">
        <v>1350</v>
      </c>
      <c r="F127" s="4" t="s">
        <v>1348</v>
      </c>
      <c r="G127" s="18" t="s">
        <v>1349</v>
      </c>
      <c r="H127" s="25" t="str">
        <f t="shared" si="3"/>
        <v>#{msg['msg.ERR_PC_SERVICO_ECM']}</v>
      </c>
      <c r="I127" s="25" t="str">
        <f t="shared" si="4"/>
        <v>msg.ERR_PC_SERVICO_ECM</v>
      </c>
    </row>
    <row r="128" spans="1:9" x14ac:dyDescent="0.25">
      <c r="A128" s="25">
        <f t="shared" si="5"/>
        <v>122</v>
      </c>
      <c r="B128" s="2">
        <v>2</v>
      </c>
      <c r="C128" s="27" t="str">
        <f>VLOOKUP(B128,TB_FNX_TIPO_MENSAGEM!$A$7:$B$28,2,FALSE)</f>
        <v>Erro</v>
      </c>
      <c r="E128" s="2" t="s">
        <v>1351</v>
      </c>
      <c r="F128" s="4" t="s">
        <v>1348</v>
      </c>
      <c r="G128" s="18" t="s">
        <v>1343</v>
      </c>
      <c r="H128" s="25" t="str">
        <f t="shared" si="3"/>
        <v>#{msg['msg.ERR_PC_ERRO_LEITURA_ECM']}</v>
      </c>
      <c r="I128" s="25" t="str">
        <f t="shared" si="4"/>
        <v>msg.ERR_PC_ERRO_LEITURA_ECM</v>
      </c>
    </row>
    <row r="129" spans="1:9" x14ac:dyDescent="0.25">
      <c r="A129" s="25">
        <f t="shared" si="5"/>
        <v>123</v>
      </c>
      <c r="B129" s="2">
        <v>2</v>
      </c>
      <c r="C129" s="27" t="str">
        <f>VLOOKUP(B129,TB_FNX_TIPO_MENSAGEM!$A$7:$B$28,2,FALSE)</f>
        <v>Erro</v>
      </c>
      <c r="E129" s="2" t="s">
        <v>1353</v>
      </c>
      <c r="F129" s="4" t="s">
        <v>1342</v>
      </c>
      <c r="G129" s="18" t="s">
        <v>1352</v>
      </c>
      <c r="H129" s="25" t="str">
        <f t="shared" si="3"/>
        <v>#{msg['msg.ERR_PC_DOC_NAO_SELECIONADO']}</v>
      </c>
      <c r="I129" s="25" t="str">
        <f t="shared" si="4"/>
        <v>msg.ERR_PC_DOC_NAO_SELECIONADO</v>
      </c>
    </row>
    <row r="130" spans="1:9" x14ac:dyDescent="0.25">
      <c r="A130" s="25">
        <f t="shared" si="5"/>
        <v>124</v>
      </c>
      <c r="B130" s="2">
        <v>5</v>
      </c>
      <c r="C130" s="27" t="str">
        <f>VLOOKUP(B130,TB_FNX_TIPO_MENSAGEM!$A$7:$B$28,2,FALSE)</f>
        <v>Confirmação</v>
      </c>
      <c r="E130" s="2" t="s">
        <v>1365</v>
      </c>
      <c r="F130" s="4" t="s">
        <v>1366</v>
      </c>
      <c r="H130" s="25" t="str">
        <f t="shared" si="3"/>
        <v>#{msg['msg.LANCAMENTO_GRAVADO']}</v>
      </c>
      <c r="I130" s="25" t="str">
        <f t="shared" si="4"/>
        <v>msg.LANCAMENTO_GRAVADO</v>
      </c>
    </row>
    <row r="131" spans="1:9" ht="30" x14ac:dyDescent="0.25">
      <c r="A131" s="25">
        <f t="shared" si="5"/>
        <v>125</v>
      </c>
      <c r="B131" s="2">
        <v>2</v>
      </c>
      <c r="C131" s="27" t="str">
        <f>VLOOKUP(B131,TB_FNX_TIPO_MENSAGEM!$A$7:$B$28,2,FALSE)</f>
        <v>Erro</v>
      </c>
      <c r="E131" s="2" t="s">
        <v>1373</v>
      </c>
      <c r="F131" s="4" t="s">
        <v>1374</v>
      </c>
      <c r="G131" s="18" t="s">
        <v>1375</v>
      </c>
      <c r="H131" s="25" t="str">
        <f t="shared" si="3"/>
        <v>#{msg['msg.ERR_NAO_EXISTE_PERFIL_ICO']}</v>
      </c>
      <c r="I131" s="25" t="str">
        <f t="shared" si="4"/>
        <v>msg.ERR_NAO_EXISTE_PERFIL_ICO</v>
      </c>
    </row>
    <row r="132" spans="1:9" x14ac:dyDescent="0.25">
      <c r="A132" s="25">
        <f t="shared" si="5"/>
        <v>126</v>
      </c>
      <c r="B132" s="2">
        <v>2</v>
      </c>
      <c r="C132" s="27" t="str">
        <f>VLOOKUP(B132,TB_FNX_TIPO_MENSAGEM!$A$7:$B$28,2,FALSE)</f>
        <v>Erro</v>
      </c>
      <c r="E132" s="25" t="s">
        <v>1387</v>
      </c>
      <c r="F132" s="26" t="s">
        <v>1352</v>
      </c>
      <c r="G132" s="28" t="s">
        <v>1388</v>
      </c>
      <c r="H132" s="25" t="str">
        <f t="shared" si="3"/>
        <v>#{msg['msg.PC_DOCUMENTO_NAO_SELECIONADO']}</v>
      </c>
      <c r="I132" s="25" t="str">
        <f t="shared" si="4"/>
        <v>msg.PC_DOCUMENTO_NAO_SELECIONADO</v>
      </c>
    </row>
    <row r="133" spans="1:9" x14ac:dyDescent="0.2">
      <c r="A133" s="25">
        <f t="shared" si="5"/>
        <v>127</v>
      </c>
      <c r="B133" s="25">
        <v>2</v>
      </c>
      <c r="C133" s="27" t="str">
        <f>VLOOKUP(B133,TB_FNX_TIPO_MENSAGEM!$A$7:$B$28,2,FALSE)</f>
        <v>Erro</v>
      </c>
      <c r="E133" s="2" t="s">
        <v>1394</v>
      </c>
      <c r="F133" s="4" t="s">
        <v>1393</v>
      </c>
      <c r="G133" s="30" t="s">
        <v>1392</v>
      </c>
      <c r="H133" s="25" t="str">
        <f t="shared" si="3"/>
        <v>#{msg['msg.ERR_EXCLUIR_LANCAMENTO']}</v>
      </c>
      <c r="I133" s="25" t="str">
        <f t="shared" si="4"/>
        <v>msg.ERR_EXCLUIR_LANCAMENTO</v>
      </c>
    </row>
    <row r="134" spans="1:9" x14ac:dyDescent="0.25">
      <c r="A134" s="25">
        <f t="shared" si="5"/>
        <v>128</v>
      </c>
      <c r="B134" s="25">
        <v>5</v>
      </c>
      <c r="C134" s="27" t="str">
        <f>VLOOKUP(B134,TB_FNX_TIPO_MENSAGEM!$A$7:$B$28,2,FALSE)</f>
        <v>Confirmação</v>
      </c>
      <c r="E134" s="2" t="s">
        <v>1405</v>
      </c>
      <c r="F134" s="4" t="s">
        <v>1406</v>
      </c>
      <c r="H134" s="25" t="str">
        <f t="shared" si="3"/>
        <v>#{msg['msg.MEM_CALC_CONCLUSAO_REALIZADA']}</v>
      </c>
      <c r="I134" s="25" t="str">
        <f t="shared" si="4"/>
        <v>msg.MEM_CALC_CONCLUSAO_REALIZADA</v>
      </c>
    </row>
    <row r="135" spans="1:9" x14ac:dyDescent="0.25">
      <c r="A135" s="25">
        <f t="shared" si="5"/>
        <v>129</v>
      </c>
      <c r="B135" s="25">
        <v>2</v>
      </c>
      <c r="C135" s="27" t="str">
        <f>VLOOKUP(B135,TB_FNX_TIPO_MENSAGEM!$A$7:$B$28,2,FALSE)</f>
        <v>Erro</v>
      </c>
      <c r="E135" s="2" t="s">
        <v>1409</v>
      </c>
      <c r="F135" s="4" t="s">
        <v>1408</v>
      </c>
      <c r="G135" s="18" t="s">
        <v>1407</v>
      </c>
      <c r="H135" s="25" t="str">
        <f t="shared" si="3"/>
        <v>#{msg['msg.ERR_MEM_CALC_SIMULACAO']}</v>
      </c>
      <c r="I135" s="25" t="str">
        <f t="shared" si="4"/>
        <v>msg.ERR_MEM_CALC_SIMULACAO</v>
      </c>
    </row>
    <row r="136" spans="1:9" ht="30" x14ac:dyDescent="0.25">
      <c r="A136" s="25">
        <f t="shared" si="5"/>
        <v>130</v>
      </c>
      <c r="B136" s="25">
        <v>2</v>
      </c>
      <c r="C136" s="27" t="str">
        <f>VLOOKUP(B136,TB_FNX_TIPO_MENSAGEM!$A$7:$B$28,2,FALSE)</f>
        <v>Erro</v>
      </c>
      <c r="E136" s="2" t="s">
        <v>1411</v>
      </c>
      <c r="F136" s="26" t="s">
        <v>1408</v>
      </c>
      <c r="G136" s="18" t="s">
        <v>1410</v>
      </c>
      <c r="H136" s="25" t="str">
        <f t="shared" ref="H136:H199" si="6">CONCATENATE("#{msg['msg.",$E136,"']}")</f>
        <v>#{msg['msg.ERR_MEM_CALC_NAO_EXECUCAO']}</v>
      </c>
      <c r="I136" s="25" t="str">
        <f t="shared" ref="I136:I199" si="7">CONCATENATE("msg.",$E136)</f>
        <v>msg.ERR_MEM_CALC_NAO_EXECUCAO</v>
      </c>
    </row>
    <row r="137" spans="1:9" ht="30" x14ac:dyDescent="0.25">
      <c r="A137" s="25">
        <f t="shared" ref="A137:A200" si="8">A136+1</f>
        <v>131</v>
      </c>
      <c r="B137" s="25">
        <v>2</v>
      </c>
      <c r="C137" s="27" t="str">
        <f>VLOOKUP(B137,TB_FNX_TIPO_MENSAGEM!$A$7:$B$28,2,FALSE)</f>
        <v>Erro</v>
      </c>
      <c r="E137" s="2" t="s">
        <v>1413</v>
      </c>
      <c r="F137" s="26" t="s">
        <v>1408</v>
      </c>
      <c r="G137" s="18" t="s">
        <v>1412</v>
      </c>
      <c r="H137" s="25" t="str">
        <f t="shared" si="6"/>
        <v>#{msg['msg.ERR_MEM_CALC_STATUS_INCORRETO']}</v>
      </c>
      <c r="I137" s="25" t="str">
        <f t="shared" si="7"/>
        <v>msg.ERR_MEM_CALC_STATUS_INCORRETO</v>
      </c>
    </row>
    <row r="138" spans="1:9" ht="30" x14ac:dyDescent="0.25">
      <c r="A138" s="25">
        <f t="shared" si="8"/>
        <v>132</v>
      </c>
      <c r="B138" s="25">
        <v>2</v>
      </c>
      <c r="C138" s="27" t="str">
        <f>VLOOKUP(B138,TB_FNX_TIPO_MENSAGEM!$A$7:$B$28,2,FALSE)</f>
        <v>Erro</v>
      </c>
      <c r="E138" s="2" t="s">
        <v>1415</v>
      </c>
      <c r="F138" s="26" t="s">
        <v>1408</v>
      </c>
      <c r="G138" s="18" t="s">
        <v>1414</v>
      </c>
      <c r="H138" s="25" t="str">
        <f t="shared" si="6"/>
        <v>#{msg['msg.ERR_MEM_CALC_EXISTE_MUDANCA']}</v>
      </c>
      <c r="I138" s="25" t="str">
        <f t="shared" si="7"/>
        <v>msg.ERR_MEM_CALC_EXISTE_MUDANCA</v>
      </c>
    </row>
    <row r="139" spans="1:9" x14ac:dyDescent="0.25">
      <c r="A139" s="25">
        <f t="shared" si="8"/>
        <v>133</v>
      </c>
      <c r="B139" s="2">
        <v>2</v>
      </c>
      <c r="C139" s="27" t="str">
        <f>VLOOKUP(B139,TB_FNX_TIPO_MENSAGEM!$A$7:$B$28,2,FALSE)</f>
        <v>Erro</v>
      </c>
      <c r="E139" s="2" t="s">
        <v>1418</v>
      </c>
      <c r="F139" s="4" t="s">
        <v>1419</v>
      </c>
      <c r="G139" s="18" t="s">
        <v>1420</v>
      </c>
      <c r="H139" s="25" t="str">
        <f t="shared" si="6"/>
        <v>#{msg['msg.ERR_EXCLUSAO_PRIMEIRA_PARCELA']}</v>
      </c>
      <c r="I139" s="25" t="str">
        <f t="shared" si="7"/>
        <v>msg.ERR_EXCLUSAO_PRIMEIRA_PARCELA</v>
      </c>
    </row>
    <row r="140" spans="1:9" x14ac:dyDescent="0.25">
      <c r="A140" s="25">
        <f t="shared" si="8"/>
        <v>134</v>
      </c>
      <c r="B140" s="25">
        <v>2</v>
      </c>
      <c r="C140" s="27" t="str">
        <f>VLOOKUP(B140,TB_FNX_TIPO_MENSAGEM!$A$7:$B$28,2,FALSE)</f>
        <v>Erro</v>
      </c>
      <c r="D140" s="25"/>
      <c r="E140" s="25" t="s">
        <v>1423</v>
      </c>
      <c r="F140" s="26" t="s">
        <v>1424</v>
      </c>
      <c r="G140" s="28" t="s">
        <v>1425</v>
      </c>
      <c r="H140" s="25" t="str">
        <f t="shared" si="6"/>
        <v>#{msg['msg.ERR_MEM_CALC_DESCRICAO']}</v>
      </c>
      <c r="I140" s="25" t="str">
        <f t="shared" si="7"/>
        <v>msg.ERR_MEM_CALC_DESCRICAO</v>
      </c>
    </row>
    <row r="141" spans="1:9" x14ac:dyDescent="0.25">
      <c r="A141" s="25">
        <f t="shared" si="8"/>
        <v>135</v>
      </c>
      <c r="B141" s="25">
        <v>2</v>
      </c>
      <c r="C141" s="27" t="str">
        <f>VLOOKUP(B141,TB_FNX_TIPO_MENSAGEM!$A$7:$B$28,2,FALSE)</f>
        <v>Erro</v>
      </c>
      <c r="D141" s="25"/>
      <c r="E141" s="25" t="s">
        <v>1435</v>
      </c>
      <c r="F141" s="26" t="s">
        <v>1436</v>
      </c>
      <c r="G141" s="28" t="s">
        <v>1437</v>
      </c>
      <c r="H141" s="25" t="str">
        <f t="shared" si="6"/>
        <v>#{msg['msg.ERR_MEM_VAL_QTDE_ITEM']}</v>
      </c>
      <c r="I141" s="25" t="str">
        <f t="shared" si="7"/>
        <v>msg.ERR_MEM_VAL_QTDE_ITEM</v>
      </c>
    </row>
    <row r="142" spans="1:9" x14ac:dyDescent="0.25">
      <c r="A142" s="25">
        <f t="shared" si="8"/>
        <v>136</v>
      </c>
      <c r="B142" s="25">
        <v>2</v>
      </c>
      <c r="C142" s="27" t="str">
        <f>VLOOKUP(B142,TB_FNX_TIPO_MENSAGEM!$A$7:$B$28,2,FALSE)</f>
        <v>Erro</v>
      </c>
      <c r="D142" s="25"/>
      <c r="E142" s="25" t="s">
        <v>1438</v>
      </c>
      <c r="F142" s="26" t="s">
        <v>1439</v>
      </c>
      <c r="G142" s="28" t="s">
        <v>1440</v>
      </c>
      <c r="H142" s="25" t="str">
        <f t="shared" si="6"/>
        <v>#{msg['msg.ERR_MEM_VAL_NAO_EH_NUMERO']}</v>
      </c>
      <c r="I142" s="25" t="str">
        <f t="shared" si="7"/>
        <v>msg.ERR_MEM_VAL_NAO_EH_NUMERO</v>
      </c>
    </row>
    <row r="143" spans="1:9" x14ac:dyDescent="0.25">
      <c r="A143" s="25">
        <f t="shared" si="8"/>
        <v>137</v>
      </c>
      <c r="B143" s="25">
        <v>2</v>
      </c>
      <c r="C143" s="27" t="str">
        <f>VLOOKUP(B143,TB_FNX_TIPO_MENSAGEM!$A$7:$B$28,2,FALSE)</f>
        <v>Erro</v>
      </c>
      <c r="D143" s="25"/>
      <c r="E143" s="25" t="s">
        <v>1441</v>
      </c>
      <c r="F143" s="26" t="s">
        <v>1436</v>
      </c>
      <c r="G143" s="28" t="s">
        <v>1442</v>
      </c>
      <c r="H143" s="25" t="str">
        <f t="shared" si="6"/>
        <v>#{msg['msg.ERR_MEM_VAL_UNIT_ITEM']}</v>
      </c>
      <c r="I143" s="25" t="str">
        <f t="shared" si="7"/>
        <v>msg.ERR_MEM_VAL_UNIT_ITEM</v>
      </c>
    </row>
    <row r="144" spans="1:9" x14ac:dyDescent="0.25">
      <c r="A144" s="25">
        <f t="shared" si="8"/>
        <v>138</v>
      </c>
      <c r="B144" s="25">
        <v>2</v>
      </c>
      <c r="C144" s="27" t="str">
        <f>VLOOKUP(B144,TB_FNX_TIPO_MENSAGEM!$A$7:$B$28,2,FALSE)</f>
        <v>Erro</v>
      </c>
      <c r="D144" s="25"/>
      <c r="E144" s="25" t="s">
        <v>1443</v>
      </c>
      <c r="F144" s="26" t="s">
        <v>1436</v>
      </c>
      <c r="G144" s="28" t="s">
        <v>1444</v>
      </c>
      <c r="H144" s="25" t="str">
        <f t="shared" si="6"/>
        <v>#{msg['msg.ERR_MEM_VAL_PC_APEX']}</v>
      </c>
      <c r="I144" s="25" t="str">
        <f t="shared" si="7"/>
        <v>msg.ERR_MEM_VAL_PC_APEX</v>
      </c>
    </row>
    <row r="145" spans="1:9" x14ac:dyDescent="0.25">
      <c r="A145" s="25">
        <f t="shared" si="8"/>
        <v>139</v>
      </c>
      <c r="B145" s="25">
        <v>2</v>
      </c>
      <c r="C145" s="27" t="str">
        <f>VLOOKUP(B145,TB_FNX_TIPO_MENSAGEM!$A$7:$B$28,2,FALSE)</f>
        <v>Erro</v>
      </c>
      <c r="D145" s="25"/>
      <c r="E145" s="25" t="s">
        <v>1445</v>
      </c>
      <c r="F145" s="26" t="s">
        <v>1436</v>
      </c>
      <c r="G145" s="28" t="s">
        <v>1442</v>
      </c>
      <c r="H145" s="25" t="str">
        <f t="shared" si="6"/>
        <v>#{msg['msg.ERR_MEM_VAL_VL_APEX']}</v>
      </c>
      <c r="I145" s="25" t="str">
        <f t="shared" si="7"/>
        <v>msg.ERR_MEM_VAL_VL_APEX</v>
      </c>
    </row>
    <row r="146" spans="1:9" x14ac:dyDescent="0.25">
      <c r="A146" s="25">
        <f t="shared" si="8"/>
        <v>140</v>
      </c>
      <c r="B146" s="25">
        <v>2</v>
      </c>
      <c r="C146" s="27" t="str">
        <f>VLOOKUP(B146,TB_FNX_TIPO_MENSAGEM!$A$7:$B$28,2,FALSE)</f>
        <v>Erro</v>
      </c>
      <c r="D146" s="25"/>
      <c r="E146" s="25" t="s">
        <v>1446</v>
      </c>
      <c r="F146" s="26" t="s">
        <v>1436</v>
      </c>
      <c r="G146" s="28" t="s">
        <v>1442</v>
      </c>
      <c r="H146" s="25" t="str">
        <f t="shared" si="6"/>
        <v>#{msg['msg.ERR_MEM_VAL_VL_CONTR_ECON']}</v>
      </c>
      <c r="I146" s="25" t="str">
        <f t="shared" si="7"/>
        <v>msg.ERR_MEM_VAL_VL_CONTR_ECON</v>
      </c>
    </row>
    <row r="147" spans="1:9" x14ac:dyDescent="0.25">
      <c r="A147" s="25">
        <f t="shared" si="8"/>
        <v>141</v>
      </c>
      <c r="B147" s="25">
        <v>2</v>
      </c>
      <c r="C147" s="27" t="str">
        <f>VLOOKUP(B147,TB_FNX_TIPO_MENSAGEM!$A$7:$B$28,2,FALSE)</f>
        <v>Erro</v>
      </c>
      <c r="D147" s="25"/>
      <c r="E147" s="25" t="s">
        <v>1447</v>
      </c>
      <c r="F147" s="26" t="s">
        <v>1436</v>
      </c>
      <c r="G147" s="28" t="s">
        <v>1442</v>
      </c>
      <c r="H147" s="25" t="str">
        <f t="shared" si="6"/>
        <v>#{msg['msg.ERR_MEM_VAL_VL_CONTR_FINAN']}</v>
      </c>
      <c r="I147" s="25" t="str">
        <f t="shared" si="7"/>
        <v>msg.ERR_MEM_VAL_VL_CONTR_FINAN</v>
      </c>
    </row>
    <row r="148" spans="1:9" ht="45" x14ac:dyDescent="0.25">
      <c r="A148" s="25">
        <f t="shared" si="8"/>
        <v>142</v>
      </c>
      <c r="B148" s="25">
        <v>2</v>
      </c>
      <c r="C148" s="27" t="str">
        <f>VLOOKUP(B148,TB_FNX_TIPO_MENSAGEM!$A$7:$B$28,2,FALSE)</f>
        <v>Erro</v>
      </c>
      <c r="D148" s="25"/>
      <c r="E148" s="25" t="s">
        <v>1448</v>
      </c>
      <c r="F148" s="26" t="s">
        <v>1449</v>
      </c>
      <c r="G148" s="28"/>
      <c r="H148" s="25" t="str">
        <f t="shared" si="6"/>
        <v>#{msg['msg.ERR_MEM_ITEM_SEL_INVALIDO']}</v>
      </c>
      <c r="I148" s="25" t="str">
        <f t="shared" si="7"/>
        <v>msg.ERR_MEM_ITEM_SEL_INVALIDO</v>
      </c>
    </row>
    <row r="149" spans="1:9" ht="60" x14ac:dyDescent="0.25">
      <c r="A149" s="25">
        <f t="shared" si="8"/>
        <v>143</v>
      </c>
      <c r="B149" s="25">
        <v>2</v>
      </c>
      <c r="C149" s="27" t="str">
        <f>VLOOKUP(B149,TB_FNX_TIPO_MENSAGEM!$A$7:$B$28,2,FALSE)</f>
        <v>Erro</v>
      </c>
      <c r="D149" s="25"/>
      <c r="E149" s="25" t="s">
        <v>1450</v>
      </c>
      <c r="F149" s="26" t="s">
        <v>1451</v>
      </c>
      <c r="G149" s="28"/>
      <c r="H149" s="25" t="str">
        <f t="shared" si="6"/>
        <v>#{msg['msg.ERR_MEM_MOEDAS_NAO_CARREGADAS']}</v>
      </c>
      <c r="I149" s="25" t="str">
        <f t="shared" si="7"/>
        <v>msg.ERR_MEM_MOEDAS_NAO_CARREGADAS</v>
      </c>
    </row>
    <row r="150" spans="1:9" ht="60" x14ac:dyDescent="0.25">
      <c r="A150" s="25">
        <f t="shared" si="8"/>
        <v>144</v>
      </c>
      <c r="B150" s="25">
        <v>2</v>
      </c>
      <c r="C150" s="27" t="str">
        <f>VLOOKUP(B150,TB_FNX_TIPO_MENSAGEM!$A$7:$B$28,2,FALSE)</f>
        <v>Erro</v>
      </c>
      <c r="D150" s="25"/>
      <c r="E150" s="25" t="s">
        <v>1462</v>
      </c>
      <c r="F150" s="26" t="s">
        <v>1463</v>
      </c>
      <c r="H150" s="25" t="str">
        <f t="shared" si="6"/>
        <v>#{msg['msg.ERR_MEM_DET_OBR']}</v>
      </c>
      <c r="I150" s="25" t="str">
        <f t="shared" si="7"/>
        <v>msg.ERR_MEM_DET_OBR</v>
      </c>
    </row>
    <row r="151" spans="1:9" ht="30" x14ac:dyDescent="0.25">
      <c r="A151" s="25">
        <f t="shared" si="8"/>
        <v>145</v>
      </c>
      <c r="B151" s="25">
        <v>2</v>
      </c>
      <c r="C151" s="27" t="str">
        <f>VLOOKUP(B151,TB_FNX_TIPO_MENSAGEM!$A$7:$B$28,2,FALSE)</f>
        <v>Erro</v>
      </c>
      <c r="D151" s="25"/>
      <c r="E151" s="25" t="s">
        <v>1464</v>
      </c>
      <c r="F151" s="26" t="s">
        <v>1465</v>
      </c>
      <c r="H151" s="25" t="str">
        <f t="shared" si="6"/>
        <v>#{msg['msg.ERR_MEM_CALC_MES_PARC_REQ']}</v>
      </c>
      <c r="I151" s="25" t="str">
        <f t="shared" si="7"/>
        <v>msg.ERR_MEM_CALC_MES_PARC_REQ</v>
      </c>
    </row>
    <row r="152" spans="1:9" ht="30" x14ac:dyDescent="0.25">
      <c r="A152" s="25">
        <f t="shared" si="8"/>
        <v>146</v>
      </c>
      <c r="B152" s="25">
        <v>2</v>
      </c>
      <c r="C152" s="27" t="str">
        <f>VLOOKUP(B152,TB_FNX_TIPO_MENSAGEM!$A$7:$B$28,2,FALSE)</f>
        <v>Erro</v>
      </c>
      <c r="E152" s="2" t="s">
        <v>1476</v>
      </c>
      <c r="F152" s="4" t="s">
        <v>1481</v>
      </c>
      <c r="G152" s="18" t="s">
        <v>1479</v>
      </c>
      <c r="H152" s="25" t="str">
        <f t="shared" si="6"/>
        <v>#{msg['msg.ERR_AC_DTFINAL_MENOR  ']}</v>
      </c>
      <c r="I152" s="25" t="str">
        <f t="shared" si="7"/>
        <v xml:space="preserve">msg.ERR_AC_DTFINAL_MENOR  </v>
      </c>
    </row>
    <row r="153" spans="1:9" ht="30" x14ac:dyDescent="0.25">
      <c r="A153" s="25">
        <f t="shared" si="8"/>
        <v>147</v>
      </c>
      <c r="B153" s="25">
        <v>2</v>
      </c>
      <c r="C153" s="27" t="str">
        <f>VLOOKUP(B153,TB_FNX_TIPO_MENSAGEM!$A$7:$B$28,2,FALSE)</f>
        <v>Erro</v>
      </c>
      <c r="E153" s="2" t="s">
        <v>1477</v>
      </c>
      <c r="F153" s="26" t="s">
        <v>1481</v>
      </c>
      <c r="G153" s="18" t="s">
        <v>1480</v>
      </c>
      <c r="H153" s="25" t="str">
        <f t="shared" si="6"/>
        <v>#{msg['msg.ERR_AC_DTFINAL_MAIOR  ']}</v>
      </c>
      <c r="I153" s="25" t="str">
        <f t="shared" si="7"/>
        <v xml:space="preserve">msg.ERR_AC_DTFINAL_MAIOR  </v>
      </c>
    </row>
    <row r="154" spans="1:9" ht="30" x14ac:dyDescent="0.25">
      <c r="A154" s="25">
        <f t="shared" si="8"/>
        <v>148</v>
      </c>
      <c r="B154" s="25">
        <v>2</v>
      </c>
      <c r="C154" s="27" t="str">
        <f>VLOOKUP(B154,TB_FNX_TIPO_MENSAGEM!$A$7:$B$28,2,FALSE)</f>
        <v>Erro</v>
      </c>
      <c r="E154" s="2" t="s">
        <v>1478</v>
      </c>
      <c r="F154" s="26" t="s">
        <v>1481</v>
      </c>
      <c r="G154" s="18" t="s">
        <v>1655</v>
      </c>
      <c r="H154" s="25" t="str">
        <f t="shared" si="6"/>
        <v>#{msg['msg.ERR_AC_DTINICIAL_MENOR']}</v>
      </c>
      <c r="I154" s="25" t="str">
        <f t="shared" si="7"/>
        <v>msg.ERR_AC_DTINICIAL_MENOR</v>
      </c>
    </row>
    <row r="155" spans="1:9" x14ac:dyDescent="0.25">
      <c r="A155" s="25">
        <f t="shared" si="8"/>
        <v>149</v>
      </c>
      <c r="B155" s="25">
        <v>2</v>
      </c>
      <c r="C155" s="27" t="str">
        <f>VLOOKUP(B155,TB_FNX_TIPO_MENSAGEM!$A$7:$B$28,2,FALSE)</f>
        <v>Erro</v>
      </c>
      <c r="E155" s="2" t="s">
        <v>1632</v>
      </c>
      <c r="F155" s="4" t="s">
        <v>1631</v>
      </c>
      <c r="G155" s="18" t="s">
        <v>1645</v>
      </c>
      <c r="H155" s="25" t="str">
        <f t="shared" si="6"/>
        <v>#{msg['msg.ERR_AC_PESQ_DTFINAL_AUSENTE']}</v>
      </c>
      <c r="I155" s="25" t="str">
        <f t="shared" si="7"/>
        <v>msg.ERR_AC_PESQ_DTFINAL_AUSENTE</v>
      </c>
    </row>
    <row r="156" spans="1:9" x14ac:dyDescent="0.25">
      <c r="A156" s="25">
        <f t="shared" si="8"/>
        <v>150</v>
      </c>
      <c r="B156" s="25">
        <v>2</v>
      </c>
      <c r="C156" s="27" t="str">
        <f>VLOOKUP(B156,TB_FNX_TIPO_MENSAGEM!$A$7:$B$28,2,FALSE)</f>
        <v>Erro</v>
      </c>
      <c r="E156" s="25" t="s">
        <v>1633</v>
      </c>
      <c r="F156" s="26" t="s">
        <v>1631</v>
      </c>
      <c r="G156" s="18" t="s">
        <v>1644</v>
      </c>
      <c r="H156" s="25" t="str">
        <f t="shared" si="6"/>
        <v>#{msg['msg.ERR_AC_PESQ_DTINICIO_AUSENTE']}</v>
      </c>
      <c r="I156" s="25" t="str">
        <f t="shared" si="7"/>
        <v>msg.ERR_AC_PESQ_DTINICIO_AUSENTE</v>
      </c>
    </row>
    <row r="157" spans="1:9" x14ac:dyDescent="0.25">
      <c r="A157" s="25">
        <f t="shared" si="8"/>
        <v>151</v>
      </c>
      <c r="B157" s="25">
        <v>2</v>
      </c>
      <c r="C157" s="27" t="str">
        <f>VLOOKUP(B157,TB_FNX_TIPO_MENSAGEM!$A$7:$B$28,2,FALSE)</f>
        <v>Erro</v>
      </c>
      <c r="E157" s="25" t="s">
        <v>1634</v>
      </c>
      <c r="F157" s="26" t="s">
        <v>1631</v>
      </c>
      <c r="G157" s="18" t="s">
        <v>1643</v>
      </c>
      <c r="H157" s="25" t="str">
        <f t="shared" si="6"/>
        <v>#{msg['msg.ERR_AC_PESQ_DTFIM_MAIOR']}</v>
      </c>
      <c r="I157" s="25" t="str">
        <f t="shared" si="7"/>
        <v>msg.ERR_AC_PESQ_DTFIM_MAIOR</v>
      </c>
    </row>
    <row r="158" spans="1:9" x14ac:dyDescent="0.25">
      <c r="A158" s="25">
        <f t="shared" si="8"/>
        <v>152</v>
      </c>
      <c r="B158" s="25">
        <v>2</v>
      </c>
      <c r="C158" s="27" t="str">
        <f>VLOOKUP(B158,TB_FNX_TIPO_MENSAGEM!$A$7:$B$28,2,FALSE)</f>
        <v>Erro</v>
      </c>
      <c r="E158" s="2" t="s">
        <v>1635</v>
      </c>
      <c r="F158" s="4" t="s">
        <v>1637</v>
      </c>
      <c r="G158" s="18" t="s">
        <v>1638</v>
      </c>
      <c r="H158" s="25" t="str">
        <f t="shared" si="6"/>
        <v>#{msg['msg.ERR_AC_EVENTO_NAO_DEFINIDO']}</v>
      </c>
      <c r="I158" s="25" t="str">
        <f t="shared" si="7"/>
        <v>msg.ERR_AC_EVENTO_NAO_DEFINIDO</v>
      </c>
    </row>
    <row r="159" spans="1:9" x14ac:dyDescent="0.25">
      <c r="A159" s="25">
        <f t="shared" si="8"/>
        <v>153</v>
      </c>
      <c r="B159" s="25">
        <v>2</v>
      </c>
      <c r="C159" s="27" t="str">
        <f>VLOOKUP(B159,TB_FNX_TIPO_MENSAGEM!$A$7:$B$28,2,FALSE)</f>
        <v>Erro</v>
      </c>
      <c r="E159" s="2" t="s">
        <v>1636</v>
      </c>
      <c r="F159" s="26" t="s">
        <v>1637</v>
      </c>
      <c r="G159" s="18" t="s">
        <v>1639</v>
      </c>
      <c r="H159" s="25" t="str">
        <f t="shared" si="6"/>
        <v>#{msg['msg.ERR_AC_PARTIC_NAO_DEFINIDO']}</v>
      </c>
      <c r="I159" s="25" t="str">
        <f t="shared" si="7"/>
        <v>msg.ERR_AC_PARTIC_NAO_DEFINIDO</v>
      </c>
    </row>
    <row r="160" spans="1:9" x14ac:dyDescent="0.25">
      <c r="A160" s="25">
        <f t="shared" si="8"/>
        <v>154</v>
      </c>
      <c r="B160" s="25">
        <v>2</v>
      </c>
      <c r="C160" s="27" t="str">
        <f>VLOOKUP(B160,TB_FNX_TIPO_MENSAGEM!$A$7:$B$28,2,FALSE)</f>
        <v>Erro</v>
      </c>
      <c r="E160" s="2" t="s">
        <v>1649</v>
      </c>
      <c r="F160" s="4" t="s">
        <v>1108</v>
      </c>
      <c r="G160" s="18" t="s">
        <v>1650</v>
      </c>
      <c r="H160" s="25" t="str">
        <f t="shared" si="6"/>
        <v>#{msg['msg.ERR_AC_EXCLUSAO_POSSUI_LANC']}</v>
      </c>
      <c r="I160" s="25" t="str">
        <f t="shared" si="7"/>
        <v>msg.ERR_AC_EXCLUSAO_POSSUI_LANC</v>
      </c>
    </row>
    <row r="161" spans="1:9" x14ac:dyDescent="0.25">
      <c r="A161" s="25">
        <f t="shared" si="8"/>
        <v>155</v>
      </c>
      <c r="B161" s="25">
        <v>1</v>
      </c>
      <c r="C161" s="27" t="str">
        <f>VLOOKUP(B161,TB_FNX_TIPO_MENSAGEM!$A$7:$B$28,2,FALSE)</f>
        <v>Informação</v>
      </c>
      <c r="E161" s="2" t="s">
        <v>1651</v>
      </c>
      <c r="F161" s="4" t="s">
        <v>1653</v>
      </c>
      <c r="H161" s="25" t="str">
        <f t="shared" si="6"/>
        <v>#{msg['msg.INFO_AC_CANCELADA']}</v>
      </c>
      <c r="I161" s="25" t="str">
        <f t="shared" si="7"/>
        <v>msg.INFO_AC_CANCELADA</v>
      </c>
    </row>
    <row r="162" spans="1:9" x14ac:dyDescent="0.25">
      <c r="A162" s="25">
        <f t="shared" si="8"/>
        <v>156</v>
      </c>
      <c r="B162" s="25">
        <v>1</v>
      </c>
      <c r="C162" s="27" t="str">
        <f>VLOOKUP(B162,TB_FNX_TIPO_MENSAGEM!$A$7:$B$28,2,FALSE)</f>
        <v>Informação</v>
      </c>
      <c r="E162" s="2" t="s">
        <v>1652</v>
      </c>
      <c r="F162" s="4" t="s">
        <v>1654</v>
      </c>
      <c r="H162" s="25" t="str">
        <f t="shared" si="6"/>
        <v>#{msg['msg.INFO_AC_EXCLUIDA']}</v>
      </c>
      <c r="I162" s="25" t="str">
        <f t="shared" si="7"/>
        <v>msg.INFO_AC_EXCLUIDA</v>
      </c>
    </row>
    <row r="163" spans="1:9" x14ac:dyDescent="0.25">
      <c r="A163" s="25">
        <f t="shared" si="8"/>
        <v>157</v>
      </c>
      <c r="B163" s="25">
        <v>2</v>
      </c>
      <c r="C163" s="27" t="str">
        <f>VLOOKUP(B163,TB_FNX_TIPO_MENSAGEM!$A$7:$B$28,2,FALSE)</f>
        <v>Erro</v>
      </c>
      <c r="E163" s="2" t="s">
        <v>1668</v>
      </c>
      <c r="F163" s="4" t="s">
        <v>1667</v>
      </c>
      <c r="G163" s="18" t="s">
        <v>1682</v>
      </c>
      <c r="H163" s="25" t="str">
        <f t="shared" si="6"/>
        <v>#{msg['msg.ERR_AC_DT_INICIAL_AUSENTE']}</v>
      </c>
      <c r="I163" s="25" t="str">
        <f t="shared" si="7"/>
        <v>msg.ERR_AC_DT_INICIAL_AUSENTE</v>
      </c>
    </row>
    <row r="164" spans="1:9" x14ac:dyDescent="0.25">
      <c r="A164" s="25">
        <f t="shared" si="8"/>
        <v>158</v>
      </c>
      <c r="B164" s="25">
        <v>2</v>
      </c>
      <c r="C164" s="27" t="str">
        <f>VLOOKUP(B164,TB_FNX_TIPO_MENSAGEM!$A$7:$B$28,2,FALSE)</f>
        <v>Erro</v>
      </c>
      <c r="E164" s="25" t="s">
        <v>1669</v>
      </c>
      <c r="F164" s="26" t="s">
        <v>1667</v>
      </c>
      <c r="G164" s="18" t="s">
        <v>1656</v>
      </c>
      <c r="H164" s="25" t="str">
        <f t="shared" si="6"/>
        <v>#{msg['msg.ERR_AC_DT_INVALIDA']}</v>
      </c>
      <c r="I164" s="25" t="str">
        <f t="shared" si="7"/>
        <v>msg.ERR_AC_DT_INVALIDA</v>
      </c>
    </row>
    <row r="165" spans="1:9" x14ac:dyDescent="0.25">
      <c r="A165" s="25">
        <f t="shared" si="8"/>
        <v>159</v>
      </c>
      <c r="B165" s="25">
        <v>2</v>
      </c>
      <c r="C165" s="27" t="str">
        <f>VLOOKUP(B165,TB_FNX_TIPO_MENSAGEM!$A$7:$B$28,2,FALSE)</f>
        <v>Erro</v>
      </c>
      <c r="E165" s="2" t="s">
        <v>1670</v>
      </c>
      <c r="F165" s="26" t="s">
        <v>1667</v>
      </c>
      <c r="G165" s="18" t="s">
        <v>1657</v>
      </c>
      <c r="H165" s="25" t="str">
        <f t="shared" si="6"/>
        <v>#{msg['msg.ERR_AC_DTINICIAL_MENOR_DTFINAL']}</v>
      </c>
      <c r="I165" s="25" t="str">
        <f t="shared" si="7"/>
        <v>msg.ERR_AC_DTINICIAL_MENOR_DTFINAL</v>
      </c>
    </row>
    <row r="166" spans="1:9" x14ac:dyDescent="0.25">
      <c r="A166" s="25">
        <f t="shared" si="8"/>
        <v>160</v>
      </c>
      <c r="B166" s="25">
        <v>2</v>
      </c>
      <c r="C166" s="27" t="str">
        <f>VLOOKUP(B166,TB_FNX_TIPO_MENSAGEM!$A$7:$B$28,2,FALSE)</f>
        <v>Erro</v>
      </c>
      <c r="E166" s="2" t="s">
        <v>1671</v>
      </c>
      <c r="F166" s="26" t="s">
        <v>1667</v>
      </c>
      <c r="G166" s="18" t="s">
        <v>1683</v>
      </c>
      <c r="H166" s="25" t="str">
        <f t="shared" si="6"/>
        <v>#{msg['msg.ERR_AC_DT_FINAL_AUSENTE']}</v>
      </c>
      <c r="I166" s="25" t="str">
        <f t="shared" si="7"/>
        <v>msg.ERR_AC_DT_FINAL_AUSENTE</v>
      </c>
    </row>
    <row r="167" spans="1:9" x14ac:dyDescent="0.25">
      <c r="A167" s="25">
        <f t="shared" si="8"/>
        <v>161</v>
      </c>
      <c r="B167" s="25">
        <v>2</v>
      </c>
      <c r="C167" s="27" t="str">
        <f>VLOOKUP(B167,TB_FNX_TIPO_MENSAGEM!$A$7:$B$28,2,FALSE)</f>
        <v>Erro</v>
      </c>
      <c r="E167" s="2" t="s">
        <v>1673</v>
      </c>
      <c r="F167" s="26" t="s">
        <v>1667</v>
      </c>
      <c r="G167" s="18" t="s">
        <v>1658</v>
      </c>
      <c r="H167" s="25" t="str">
        <f t="shared" si="6"/>
        <v>#{msg['msg.ERR_AC_DTFIM_ACAO_MENOR_DTINICIO']}</v>
      </c>
      <c r="I167" s="25" t="str">
        <f t="shared" si="7"/>
        <v>msg.ERR_AC_DTFIM_ACAO_MENOR_DTINICIO</v>
      </c>
    </row>
    <row r="168" spans="1:9" x14ac:dyDescent="0.25">
      <c r="A168" s="25">
        <f t="shared" si="8"/>
        <v>162</v>
      </c>
      <c r="B168" s="25">
        <v>2</v>
      </c>
      <c r="C168" s="27" t="str">
        <f>VLOOKUP(B168,TB_FNX_TIPO_MENSAGEM!$A$7:$B$28,2,FALSE)</f>
        <v>Erro</v>
      </c>
      <c r="E168" s="2" t="s">
        <v>1674</v>
      </c>
      <c r="F168" s="26" t="s">
        <v>1667</v>
      </c>
      <c r="G168" s="18" t="s">
        <v>1659</v>
      </c>
      <c r="H168" s="25" t="str">
        <f t="shared" si="6"/>
        <v>#{msg['msg.ERR_AC_DTFIM_ACAO_MAIOR_DTFIM_PROJ']}</v>
      </c>
      <c r="I168" s="25" t="str">
        <f t="shared" si="7"/>
        <v>msg.ERR_AC_DTFIM_ACAO_MAIOR_DTFIM_PROJ</v>
      </c>
    </row>
    <row r="169" spans="1:9" x14ac:dyDescent="0.25">
      <c r="A169" s="25">
        <f t="shared" si="8"/>
        <v>163</v>
      </c>
      <c r="B169" s="25">
        <v>2</v>
      </c>
      <c r="C169" s="27" t="str">
        <f>VLOOKUP(B169,TB_FNX_TIPO_MENSAGEM!$A$7:$B$28,2,FALSE)</f>
        <v>Erro</v>
      </c>
      <c r="E169" s="2" t="s">
        <v>1675</v>
      </c>
      <c r="F169" s="26" t="s">
        <v>1667</v>
      </c>
      <c r="G169" s="18" t="s">
        <v>1660</v>
      </c>
      <c r="H169" s="25" t="str">
        <f t="shared" si="6"/>
        <v>#{msg['msg.ERR_AC_DTINICIO_EVENTO_AUSENTE']}</v>
      </c>
      <c r="I169" s="25" t="str">
        <f t="shared" si="7"/>
        <v>msg.ERR_AC_DTINICIO_EVENTO_AUSENTE</v>
      </c>
    </row>
    <row r="170" spans="1:9" x14ac:dyDescent="0.25">
      <c r="A170" s="25">
        <f t="shared" si="8"/>
        <v>164</v>
      </c>
      <c r="B170" s="25">
        <v>2</v>
      </c>
      <c r="C170" s="27" t="str">
        <f>VLOOKUP(B170,TB_FNX_TIPO_MENSAGEM!$A$7:$B$28,2,FALSE)</f>
        <v>Erro</v>
      </c>
      <c r="E170" s="2" t="s">
        <v>1676</v>
      </c>
      <c r="F170" s="26" t="s">
        <v>1667</v>
      </c>
      <c r="G170" s="18" t="s">
        <v>1661</v>
      </c>
      <c r="H170" s="25" t="str">
        <f t="shared" si="6"/>
        <v>#{msg['msg.ERR_AC_DTINICIO_EVENTO_MAIOR_DTFIM']}</v>
      </c>
      <c r="I170" s="25" t="str">
        <f t="shared" si="7"/>
        <v>msg.ERR_AC_DTINICIO_EVENTO_MAIOR_DTFIM</v>
      </c>
    </row>
    <row r="171" spans="1:9" x14ac:dyDescent="0.25">
      <c r="A171" s="25">
        <f t="shared" si="8"/>
        <v>165</v>
      </c>
      <c r="B171" s="25">
        <v>2</v>
      </c>
      <c r="C171" s="27" t="str">
        <f>VLOOKUP(B171,TB_FNX_TIPO_MENSAGEM!$A$7:$B$28,2,FALSE)</f>
        <v>Erro</v>
      </c>
      <c r="E171" s="2" t="s">
        <v>1677</v>
      </c>
      <c r="F171" s="26" t="s">
        <v>1667</v>
      </c>
      <c r="G171" s="18" t="s">
        <v>1662</v>
      </c>
      <c r="H171" s="25" t="str">
        <f t="shared" si="6"/>
        <v>#{msg['msg.ERR_AC_PERIODO_ACAO_INDEFINIDO']}</v>
      </c>
      <c r="I171" s="25" t="str">
        <f t="shared" si="7"/>
        <v>msg.ERR_AC_PERIODO_ACAO_INDEFINIDO</v>
      </c>
    </row>
    <row r="172" spans="1:9" x14ac:dyDescent="0.25">
      <c r="A172" s="25">
        <f t="shared" si="8"/>
        <v>166</v>
      </c>
      <c r="B172" s="25">
        <v>2</v>
      </c>
      <c r="C172" s="27" t="str">
        <f>VLOOKUP(B172,TB_FNX_TIPO_MENSAGEM!$A$7:$B$28,2,FALSE)</f>
        <v>Erro</v>
      </c>
      <c r="E172" s="2" t="s">
        <v>1678</v>
      </c>
      <c r="F172" s="26" t="s">
        <v>1667</v>
      </c>
      <c r="G172" s="18" t="s">
        <v>1663</v>
      </c>
      <c r="H172" s="25" t="str">
        <f t="shared" si="6"/>
        <v>#{msg['msg.ERR_AC_DTINICIO_EVENTO_MENOR_DTACAO']}</v>
      </c>
      <c r="I172" s="25" t="str">
        <f t="shared" si="7"/>
        <v>msg.ERR_AC_DTINICIO_EVENTO_MENOR_DTACAO</v>
      </c>
    </row>
    <row r="173" spans="1:9" x14ac:dyDescent="0.25">
      <c r="A173" s="25">
        <f t="shared" si="8"/>
        <v>167</v>
      </c>
      <c r="B173" s="25">
        <v>2</v>
      </c>
      <c r="C173" s="27" t="str">
        <f>VLOOKUP(B173,TB_FNX_TIPO_MENSAGEM!$A$7:$B$28,2,FALSE)</f>
        <v>Erro</v>
      </c>
      <c r="E173" s="2" t="s">
        <v>1679</v>
      </c>
      <c r="F173" s="26" t="s">
        <v>1667</v>
      </c>
      <c r="G173" s="18" t="s">
        <v>1664</v>
      </c>
      <c r="H173" s="25" t="str">
        <f t="shared" si="6"/>
        <v>#{msg['msg.ERR_AC_DTFIM_EVENTO_AUSENTE']}</v>
      </c>
      <c r="I173" s="25" t="str">
        <f t="shared" si="7"/>
        <v>msg.ERR_AC_DTFIM_EVENTO_AUSENTE</v>
      </c>
    </row>
    <row r="174" spans="1:9" x14ac:dyDescent="0.25">
      <c r="A174" s="25">
        <f t="shared" si="8"/>
        <v>168</v>
      </c>
      <c r="B174" s="25">
        <v>2</v>
      </c>
      <c r="C174" s="27" t="str">
        <f>VLOOKUP(B174,TB_FNX_TIPO_MENSAGEM!$A$7:$B$28,2,FALSE)</f>
        <v>Erro</v>
      </c>
      <c r="E174" s="2" t="s">
        <v>1680</v>
      </c>
      <c r="F174" s="26" t="s">
        <v>1667</v>
      </c>
      <c r="G174" s="18" t="s">
        <v>1661</v>
      </c>
      <c r="H174" s="25" t="str">
        <f t="shared" si="6"/>
        <v>#{msg['msg.ERR_AC_DTINI_EVENTO_MAIOR_DTFINAL']}</v>
      </c>
      <c r="I174" s="25" t="str">
        <f t="shared" si="7"/>
        <v>msg.ERR_AC_DTINI_EVENTO_MAIOR_DTFINAL</v>
      </c>
    </row>
    <row r="175" spans="1:9" x14ac:dyDescent="0.25">
      <c r="A175" s="25">
        <f t="shared" si="8"/>
        <v>169</v>
      </c>
      <c r="B175" s="25">
        <v>2</v>
      </c>
      <c r="C175" s="27" t="str">
        <f>VLOOKUP(B175,TB_FNX_TIPO_MENSAGEM!$A$7:$B$28,2,FALSE)</f>
        <v>Erro</v>
      </c>
      <c r="E175" s="25" t="s">
        <v>1681</v>
      </c>
      <c r="F175" s="26" t="s">
        <v>1667</v>
      </c>
      <c r="G175" s="18" t="s">
        <v>1665</v>
      </c>
      <c r="H175" s="25" t="str">
        <f t="shared" si="6"/>
        <v>#{msg['msg.ERR_AC_PERIODO_EVENTO_INVALIDO']}</v>
      </c>
      <c r="I175" s="25" t="str">
        <f t="shared" si="7"/>
        <v>msg.ERR_AC_PERIODO_EVENTO_INVALIDO</v>
      </c>
    </row>
    <row r="176" spans="1:9" x14ac:dyDescent="0.25">
      <c r="A176" s="25">
        <f t="shared" si="8"/>
        <v>170</v>
      </c>
      <c r="B176" s="25">
        <v>2</v>
      </c>
      <c r="C176" s="27" t="str">
        <f>VLOOKUP(B176,TB_FNX_TIPO_MENSAGEM!$A$7:$B$28,2,FALSE)</f>
        <v>Erro</v>
      </c>
      <c r="E176" s="25" t="s">
        <v>1672</v>
      </c>
      <c r="F176" s="26" t="s">
        <v>1667</v>
      </c>
      <c r="G176" s="18" t="s">
        <v>1666</v>
      </c>
      <c r="H176" s="25" t="str">
        <f t="shared" si="6"/>
        <v>#{msg['msg.ERR_AC_DTFIM_EVENTO_MAIOR_DTFIM_ACAO']}</v>
      </c>
      <c r="I176" s="25" t="str">
        <f t="shared" si="7"/>
        <v>msg.ERR_AC_DTFIM_EVENTO_MAIOR_DTFIM_ACAO</v>
      </c>
    </row>
    <row r="177" spans="1:9" x14ac:dyDescent="0.25">
      <c r="A177" s="25">
        <f t="shared" si="8"/>
        <v>171</v>
      </c>
      <c r="B177" s="25">
        <v>5</v>
      </c>
      <c r="C177" s="27" t="str">
        <f>VLOOKUP(B177,TB_FNX_TIPO_MENSAGEM!$A$7:$B$28,2,FALSE)</f>
        <v>Confirmação</v>
      </c>
      <c r="E177" s="25" t="s">
        <v>1686</v>
      </c>
      <c r="F177" s="4" t="s">
        <v>1684</v>
      </c>
      <c r="G177" t="s">
        <v>1685</v>
      </c>
      <c r="H177" s="25" t="str">
        <f t="shared" si="6"/>
        <v>#{msg['msg.MEM_CALC_CONF_DTPGTO']}</v>
      </c>
      <c r="I177" s="25" t="str">
        <f t="shared" si="7"/>
        <v>msg.MEM_CALC_CONF_DTPGTO</v>
      </c>
    </row>
    <row r="178" spans="1:9" ht="30" x14ac:dyDescent="0.25">
      <c r="A178" s="25">
        <f t="shared" si="8"/>
        <v>172</v>
      </c>
      <c r="B178" s="25">
        <v>2</v>
      </c>
      <c r="C178" s="27" t="str">
        <f>VLOOKUP(B178,TB_FNX_TIPO_MENSAGEM!$A$7:$B$28,2,FALSE)</f>
        <v>Erro</v>
      </c>
      <c r="E178" s="25" t="s">
        <v>1687</v>
      </c>
      <c r="F178" s="26" t="s">
        <v>1109</v>
      </c>
      <c r="G178" s="28" t="s">
        <v>1688</v>
      </c>
      <c r="H178" s="25" t="str">
        <f t="shared" si="6"/>
        <v>#{msg['msg.ERR_PC_INCLUSAO_NAO_APROV']}</v>
      </c>
      <c r="I178" s="25" t="str">
        <f t="shared" si="7"/>
        <v>msg.ERR_PC_INCLUSAO_NAO_APROV</v>
      </c>
    </row>
    <row r="179" spans="1:9" ht="15" customHeight="1" x14ac:dyDescent="0.25">
      <c r="A179" s="25">
        <f t="shared" si="8"/>
        <v>173</v>
      </c>
      <c r="B179" s="25">
        <v>2</v>
      </c>
      <c r="C179" s="27" t="str">
        <f>VLOOKUP(B179,TB_FNX_TIPO_MENSAGEM!$A$7:$B$28,2,FALSE)</f>
        <v>Erro</v>
      </c>
      <c r="E179" s="25" t="s">
        <v>1689</v>
      </c>
      <c r="F179" s="26" t="s">
        <v>1260</v>
      </c>
      <c r="G179" s="28" t="s">
        <v>1690</v>
      </c>
      <c r="H179" s="25" t="str">
        <f t="shared" si="6"/>
        <v>#{msg['msg.ERR_GSTFIN_DESEMB_NAO_PG']}</v>
      </c>
      <c r="I179" s="25" t="str">
        <f t="shared" si="7"/>
        <v>msg.ERR_GSTFIN_DESEMB_NAO_PG</v>
      </c>
    </row>
    <row r="180" spans="1:9" ht="15" customHeight="1" x14ac:dyDescent="0.25">
      <c r="A180" s="25">
        <f t="shared" si="8"/>
        <v>174</v>
      </c>
      <c r="B180" s="25">
        <v>2</v>
      </c>
      <c r="C180" s="27" t="str">
        <f>VLOOKUP(B180,TB_FNX_TIPO_MENSAGEM!$A$7:$B$28,2,FALSE)</f>
        <v>Erro</v>
      </c>
      <c r="E180" s="25" t="s">
        <v>1691</v>
      </c>
      <c r="F180" s="26" t="s">
        <v>1260</v>
      </c>
      <c r="G180" s="28" t="s">
        <v>1692</v>
      </c>
      <c r="H180" s="25" t="str">
        <f t="shared" si="6"/>
        <v>#{msg['msg.ERR_GSTFIN_DESEMB_NAO_APR']}</v>
      </c>
      <c r="I180" s="25" t="str">
        <f t="shared" si="7"/>
        <v>msg.ERR_GSTFIN_DESEMB_NAO_APR</v>
      </c>
    </row>
    <row r="181" spans="1:9" x14ac:dyDescent="0.25">
      <c r="A181" s="25">
        <f t="shared" si="8"/>
        <v>175</v>
      </c>
      <c r="B181" s="25">
        <v>2</v>
      </c>
      <c r="C181" s="27" t="str">
        <f>VLOOKUP(B181,TB_FNX_TIPO_MENSAGEM!$A$7:$B$28,2,FALSE)</f>
        <v>Erro</v>
      </c>
      <c r="E181" s="25" t="s">
        <v>1693</v>
      </c>
      <c r="F181" s="26" t="s">
        <v>1260</v>
      </c>
      <c r="G181" s="26" t="s">
        <v>1694</v>
      </c>
      <c r="H181" s="25" t="str">
        <f t="shared" si="6"/>
        <v>#{msg['msg.ERR_GSTFIN_DESEMB_REQUERIDO']}</v>
      </c>
      <c r="I181" s="25" t="str">
        <f t="shared" si="7"/>
        <v>msg.ERR_GSTFIN_DESEMB_REQUERIDO</v>
      </c>
    </row>
    <row r="182" spans="1:9" x14ac:dyDescent="0.25">
      <c r="A182" s="25">
        <f t="shared" si="8"/>
        <v>176</v>
      </c>
      <c r="B182" s="25">
        <v>2</v>
      </c>
      <c r="C182" s="27" t="str">
        <f>VLOOKUP(B182,TB_FNX_TIPO_MENSAGEM!$A$7:$B$28,2,FALSE)</f>
        <v>Erro</v>
      </c>
      <c r="E182" s="25" t="s">
        <v>1695</v>
      </c>
      <c r="F182" s="26" t="s">
        <v>1696</v>
      </c>
      <c r="G182" s="28" t="s">
        <v>1697</v>
      </c>
      <c r="H182" s="25" t="str">
        <f t="shared" si="6"/>
        <v>#{msg['msg.ERR_GSTFIN_SOLICITACAO_PGTO']}</v>
      </c>
      <c r="I182" s="25" t="str">
        <f t="shared" si="7"/>
        <v>msg.ERR_GSTFIN_SOLICITACAO_PGTO</v>
      </c>
    </row>
    <row r="183" spans="1:9" x14ac:dyDescent="0.2">
      <c r="A183" s="25">
        <f t="shared" si="8"/>
        <v>177</v>
      </c>
      <c r="B183" s="2">
        <v>1</v>
      </c>
      <c r="C183" s="27" t="str">
        <f>VLOOKUP(B183,TB_FNX_TIPO_MENSAGEM!$A$7:$B$28,2,FALSE)</f>
        <v>Informação</v>
      </c>
      <c r="E183" s="31" t="s">
        <v>1708</v>
      </c>
      <c r="F183" s="31" t="s">
        <v>1709</v>
      </c>
      <c r="G183" s="31" t="s">
        <v>1710</v>
      </c>
      <c r="H183" s="25" t="str">
        <f t="shared" si="6"/>
        <v>#{msg['msg.INFO_ENVPROJ_NOPEND']}</v>
      </c>
      <c r="I183" s="25" t="str">
        <f t="shared" si="7"/>
        <v>msg.INFO_ENVPROJ_NOPEND</v>
      </c>
    </row>
    <row r="184" spans="1:9" x14ac:dyDescent="0.2">
      <c r="A184" s="25">
        <f t="shared" si="8"/>
        <v>178</v>
      </c>
      <c r="B184" s="2">
        <v>2</v>
      </c>
      <c r="C184" s="27" t="str">
        <f>VLOOKUP(B184,TB_FNX_TIPO_MENSAGEM!$A$7:$B$28,2,FALSE)</f>
        <v>Erro</v>
      </c>
      <c r="E184" s="31" t="s">
        <v>1711</v>
      </c>
      <c r="F184" s="31" t="s">
        <v>1831</v>
      </c>
      <c r="G184" s="31" t="s">
        <v>1712</v>
      </c>
      <c r="H184" s="25" t="str">
        <f t="shared" si="6"/>
        <v>#{msg['msg.ERR_ENVPROJ_HA_PENDENCIA']}</v>
      </c>
      <c r="I184" s="25" t="str">
        <f t="shared" si="7"/>
        <v>msg.ERR_ENVPROJ_HA_PENDENCIA</v>
      </c>
    </row>
    <row r="185" spans="1:9" x14ac:dyDescent="0.2">
      <c r="A185" s="25">
        <f t="shared" si="8"/>
        <v>179</v>
      </c>
      <c r="B185" s="25">
        <v>2</v>
      </c>
      <c r="C185" s="27" t="str">
        <f>VLOOKUP(B185,TB_FNX_TIPO_MENSAGEM!$A$7:$B$28,2,FALSE)</f>
        <v>Erro</v>
      </c>
      <c r="E185" s="31" t="s">
        <v>1713</v>
      </c>
      <c r="F185" s="31" t="s">
        <v>1832</v>
      </c>
      <c r="G185" s="31" t="s">
        <v>1714</v>
      </c>
      <c r="H185" s="25" t="str">
        <f t="shared" si="6"/>
        <v>#{msg['msg.ERR_ENVPROJ_ACAO_SEM_EVENTO']}</v>
      </c>
      <c r="I185" s="25" t="str">
        <f t="shared" si="7"/>
        <v>msg.ERR_ENVPROJ_ACAO_SEM_EVENTO</v>
      </c>
    </row>
    <row r="186" spans="1:9" x14ac:dyDescent="0.2">
      <c r="A186" s="25">
        <f t="shared" si="8"/>
        <v>180</v>
      </c>
      <c r="B186" s="25">
        <v>2</v>
      </c>
      <c r="C186" s="27" t="str">
        <f>VLOOKUP(B186,TB_FNX_TIPO_MENSAGEM!$A$7:$B$28,2,FALSE)</f>
        <v>Erro</v>
      </c>
      <c r="E186" s="31" t="s">
        <v>1715</v>
      </c>
      <c r="F186" s="31" t="s">
        <v>1833</v>
      </c>
      <c r="G186" s="31" t="s">
        <v>1716</v>
      </c>
      <c r="H186" s="25" t="str">
        <f t="shared" si="6"/>
        <v>#{msg['msg.ERR_ENVPROJ_SEM_OBJETIVO']}</v>
      </c>
      <c r="I186" s="25" t="str">
        <f t="shared" si="7"/>
        <v>msg.ERR_ENVPROJ_SEM_OBJETIVO</v>
      </c>
    </row>
    <row r="187" spans="1:9" x14ac:dyDescent="0.2">
      <c r="A187" s="25">
        <f t="shared" si="8"/>
        <v>181</v>
      </c>
      <c r="B187" s="25">
        <v>2</v>
      </c>
      <c r="C187" s="27" t="str">
        <f>VLOOKUP(B187,TB_FNX_TIPO_MENSAGEM!$A$7:$B$28,2,FALSE)</f>
        <v>Erro</v>
      </c>
      <c r="E187" s="31" t="s">
        <v>1717</v>
      </c>
      <c r="F187" s="31" t="s">
        <v>2243</v>
      </c>
      <c r="G187" s="31" t="s">
        <v>1718</v>
      </c>
      <c r="H187" s="25" t="str">
        <f t="shared" si="6"/>
        <v>#{msg['msg.ERR_ENVPROJ_SEM_MERCADO']}</v>
      </c>
      <c r="I187" s="25" t="str">
        <f t="shared" si="7"/>
        <v>msg.ERR_ENVPROJ_SEM_MERCADO</v>
      </c>
    </row>
    <row r="188" spans="1:9" x14ac:dyDescent="0.2">
      <c r="A188" s="25">
        <f t="shared" si="8"/>
        <v>182</v>
      </c>
      <c r="B188" s="25">
        <v>2</v>
      </c>
      <c r="C188" s="27" t="str">
        <f>VLOOKUP(B188,TB_FNX_TIPO_MENSAGEM!$A$7:$B$28,2,FALSE)</f>
        <v>Erro</v>
      </c>
      <c r="E188" s="31" t="s">
        <v>1719</v>
      </c>
      <c r="F188" s="31" t="s">
        <v>1834</v>
      </c>
      <c r="G188" s="31" t="s">
        <v>1720</v>
      </c>
      <c r="H188" s="25" t="str">
        <f t="shared" si="6"/>
        <v>#{msg['msg.ERR_ENVPROJ_SEM_PARTICIPANTE']}</v>
      </c>
      <c r="I188" s="25" t="str">
        <f t="shared" si="7"/>
        <v>msg.ERR_ENVPROJ_SEM_PARTICIPANTE</v>
      </c>
    </row>
    <row r="189" spans="1:9" x14ac:dyDescent="0.2">
      <c r="A189" s="25">
        <f t="shared" si="8"/>
        <v>183</v>
      </c>
      <c r="B189" s="25">
        <v>2</v>
      </c>
      <c r="C189" s="27" t="str">
        <f>VLOOKUP(B189,TB_FNX_TIPO_MENSAGEM!$A$7:$B$28,2,FALSE)</f>
        <v>Erro</v>
      </c>
      <c r="E189" s="31" t="s">
        <v>1721</v>
      </c>
      <c r="F189" s="31" t="s">
        <v>1722</v>
      </c>
      <c r="G189" s="31" t="s">
        <v>1723</v>
      </c>
      <c r="H189" s="25" t="str">
        <f t="shared" si="6"/>
        <v>#{msg['msg.ERR_ENVPROJ_FALHA_VERIF']}</v>
      </c>
      <c r="I189" s="25" t="str">
        <f t="shared" si="7"/>
        <v>msg.ERR_ENVPROJ_FALHA_VERIF</v>
      </c>
    </row>
    <row r="190" spans="1:9" x14ac:dyDescent="0.2">
      <c r="A190" s="25">
        <f t="shared" si="8"/>
        <v>184</v>
      </c>
      <c r="B190" s="25">
        <v>2</v>
      </c>
      <c r="C190" s="27" t="str">
        <f>VLOOKUP(B190,TB_FNX_TIPO_MENSAGEM!$A$7:$B$28,2,FALSE)</f>
        <v>Erro</v>
      </c>
      <c r="E190" s="31" t="s">
        <v>1724</v>
      </c>
      <c r="F190" s="31" t="s">
        <v>1725</v>
      </c>
      <c r="G190" s="31" t="s">
        <v>1723</v>
      </c>
      <c r="H190" s="25" t="str">
        <f t="shared" si="6"/>
        <v>#{msg['msg.ERR_ENVPROJ_FALHA_ENVIAR']}</v>
      </c>
      <c r="I190" s="25" t="str">
        <f t="shared" si="7"/>
        <v>msg.ERR_ENVPROJ_FALHA_ENVIAR</v>
      </c>
    </row>
    <row r="191" spans="1:9" x14ac:dyDescent="0.2">
      <c r="A191" s="25">
        <f t="shared" si="8"/>
        <v>185</v>
      </c>
      <c r="B191" s="2">
        <v>1</v>
      </c>
      <c r="C191" s="27" t="str">
        <f>VLOOKUP(B191,TB_FNX_TIPO_MENSAGEM!$A$7:$B$28,2,FALSE)</f>
        <v>Informação</v>
      </c>
      <c r="E191" s="31" t="s">
        <v>1726</v>
      </c>
      <c r="F191" s="31" t="s">
        <v>1727</v>
      </c>
      <c r="G191" s="31" t="s">
        <v>1728</v>
      </c>
      <c r="H191" s="25" t="str">
        <f t="shared" si="6"/>
        <v>#{msg['msg.INFO_ENVPROJ_CONCLUIDO']}</v>
      </c>
      <c r="I191" s="25" t="str">
        <f t="shared" si="7"/>
        <v>msg.INFO_ENVPROJ_CONCLUIDO</v>
      </c>
    </row>
    <row r="192" spans="1:9" x14ac:dyDescent="0.25">
      <c r="A192" s="25">
        <f t="shared" si="8"/>
        <v>186</v>
      </c>
      <c r="B192" s="25">
        <v>2</v>
      </c>
      <c r="C192" s="27" t="str">
        <f>VLOOKUP(B192,TB_FNX_TIPO_MENSAGEM!$A$7:$B$28,2,FALSE)</f>
        <v>Erro</v>
      </c>
      <c r="D192" s="25"/>
      <c r="E192" s="25" t="s">
        <v>1748</v>
      </c>
      <c r="F192" s="26" t="s">
        <v>1749</v>
      </c>
      <c r="H192" s="25" t="str">
        <f t="shared" si="6"/>
        <v>#{msg['msg.ERR_NCM_SEL_OPCAO']}</v>
      </c>
      <c r="I192" s="25" t="str">
        <f t="shared" si="7"/>
        <v>msg.ERR_NCM_SEL_OPCAO</v>
      </c>
    </row>
    <row r="193" spans="1:9" x14ac:dyDescent="0.25">
      <c r="A193" s="25">
        <f t="shared" si="8"/>
        <v>187</v>
      </c>
      <c r="B193" s="25">
        <v>2</v>
      </c>
      <c r="C193" s="27" t="str">
        <f>VLOOKUP(B193,TB_FNX_TIPO_MENSAGEM!$A$7:$B$28,2,FALSE)</f>
        <v>Erro</v>
      </c>
      <c r="D193" s="25"/>
      <c r="E193" s="25" t="s">
        <v>1750</v>
      </c>
      <c r="F193" s="26" t="s">
        <v>1751</v>
      </c>
      <c r="H193" s="25" t="str">
        <f t="shared" si="6"/>
        <v>#{msg['msg.ERR_NCM_PRE_PART_CODIGO_PESQ']}</v>
      </c>
      <c r="I193" s="25" t="str">
        <f t="shared" si="7"/>
        <v>msg.ERR_NCM_PRE_PART_CODIGO_PESQ</v>
      </c>
    </row>
    <row r="194" spans="1:9" x14ac:dyDescent="0.2">
      <c r="A194" s="25">
        <f t="shared" si="8"/>
        <v>188</v>
      </c>
      <c r="B194" s="25">
        <v>1</v>
      </c>
      <c r="C194" s="27" t="str">
        <f>VLOOKUP(B194,TB_FNX_TIPO_MENSAGEM!$A$7:$B$28,2,FALSE)</f>
        <v>Informação</v>
      </c>
      <c r="E194" s="30" t="s">
        <v>1752</v>
      </c>
      <c r="F194" s="30" t="s">
        <v>717</v>
      </c>
      <c r="H194" s="25" t="str">
        <f t="shared" si="6"/>
        <v>#{msg['msg.AC_INFO_MUD_EM_ANALISE']}</v>
      </c>
      <c r="I194" s="25" t="str">
        <f t="shared" si="7"/>
        <v>msg.AC_INFO_MUD_EM_ANALISE</v>
      </c>
    </row>
    <row r="195" spans="1:9" x14ac:dyDescent="0.2">
      <c r="A195" s="25">
        <f t="shared" si="8"/>
        <v>189</v>
      </c>
      <c r="B195" s="25">
        <v>1</v>
      </c>
      <c r="C195" s="27" t="str">
        <f>VLOOKUP(B195,TB_FNX_TIPO_MENSAGEM!$A$7:$B$28,2,FALSE)</f>
        <v>Informação</v>
      </c>
      <c r="E195" s="30" t="s">
        <v>1753</v>
      </c>
      <c r="F195" s="30" t="s">
        <v>1754</v>
      </c>
      <c r="H195" s="25" t="str">
        <f t="shared" si="6"/>
        <v>#{msg['msg.AC_INFO_FASE_PROJ_MUD']}</v>
      </c>
      <c r="I195" s="25" t="str">
        <f t="shared" si="7"/>
        <v>msg.AC_INFO_FASE_PROJ_MUD</v>
      </c>
    </row>
    <row r="196" spans="1:9" x14ac:dyDescent="0.2">
      <c r="A196" s="25">
        <f t="shared" si="8"/>
        <v>190</v>
      </c>
      <c r="B196" s="25">
        <v>1</v>
      </c>
      <c r="C196" s="27" t="str">
        <f>VLOOKUP(B196,TB_FNX_TIPO_MENSAGEM!$A$7:$B$28,2,FALSE)</f>
        <v>Informação</v>
      </c>
      <c r="E196" s="30" t="s">
        <v>1755</v>
      </c>
      <c r="F196" s="30" t="s">
        <v>1756</v>
      </c>
      <c r="H196" s="25" t="str">
        <f t="shared" si="6"/>
        <v>#{msg['msg.AC_INFO_FASE_PROJ_MUD_SIMULACAO']}</v>
      </c>
      <c r="I196" s="25" t="str">
        <f t="shared" si="7"/>
        <v>msg.AC_INFO_FASE_PROJ_MUD_SIMULACAO</v>
      </c>
    </row>
    <row r="197" spans="1:9" ht="90" x14ac:dyDescent="0.25">
      <c r="A197" s="25">
        <f t="shared" si="8"/>
        <v>191</v>
      </c>
      <c r="B197" s="25">
        <v>2</v>
      </c>
      <c r="C197" s="27" t="str">
        <f>VLOOKUP(B197,TB_FNX_TIPO_MENSAGEM!$A$7:$B$28,2,FALSE)</f>
        <v>Erro</v>
      </c>
      <c r="D197" s="25" t="s">
        <v>1803</v>
      </c>
      <c r="E197" s="25" t="s">
        <v>1804</v>
      </c>
      <c r="F197" s="26" t="s">
        <v>1805</v>
      </c>
      <c r="G197" s="28" t="s">
        <v>1836</v>
      </c>
      <c r="H197" s="25" t="str">
        <f t="shared" si="6"/>
        <v>#{msg['msg.AUTH_ERR_TROCAR_SENHA']}</v>
      </c>
      <c r="I197" s="25" t="str">
        <f t="shared" si="7"/>
        <v>msg.AUTH_ERR_TROCAR_SENHA</v>
      </c>
    </row>
    <row r="198" spans="1:9" ht="45" x14ac:dyDescent="0.25">
      <c r="A198" s="25">
        <f t="shared" si="8"/>
        <v>192</v>
      </c>
      <c r="B198" s="25">
        <v>2</v>
      </c>
      <c r="C198" s="27" t="str">
        <f>VLOOKUP(B198,TB_FNX_TIPO_MENSAGEM!$A$7:$B$28,2,FALSE)</f>
        <v>Erro</v>
      </c>
      <c r="D198" s="25" t="s">
        <v>1803</v>
      </c>
      <c r="E198" s="25" t="s">
        <v>1806</v>
      </c>
      <c r="F198" s="26" t="s">
        <v>1807</v>
      </c>
      <c r="G198" s="28"/>
      <c r="H198" s="25" t="str">
        <f t="shared" si="6"/>
        <v>#{msg['msg.AUTH_ERR_CONF_INVALIDA']}</v>
      </c>
      <c r="I198" s="25" t="str">
        <f t="shared" si="7"/>
        <v>msg.AUTH_ERR_CONF_INVALIDA</v>
      </c>
    </row>
    <row r="199" spans="1:9" x14ac:dyDescent="0.25">
      <c r="A199" s="25">
        <f t="shared" si="8"/>
        <v>193</v>
      </c>
      <c r="B199" s="25">
        <v>5</v>
      </c>
      <c r="C199" s="27" t="str">
        <f>VLOOKUP(B199,TB_FNX_TIPO_MENSAGEM!$A$7:$B$28,2,FALSE)</f>
        <v>Confirmação</v>
      </c>
      <c r="D199" s="25" t="s">
        <v>1803</v>
      </c>
      <c r="E199" s="25" t="s">
        <v>1808</v>
      </c>
      <c r="F199" s="26" t="s">
        <v>1809</v>
      </c>
      <c r="G199" s="28"/>
      <c r="H199" s="25" t="str">
        <f t="shared" si="6"/>
        <v>#{msg['msg.AUTH_SENHA_ALTERADA']}</v>
      </c>
      <c r="I199" s="25" t="str">
        <f t="shared" si="7"/>
        <v>msg.AUTH_SENHA_ALTERADA</v>
      </c>
    </row>
    <row r="200" spans="1:9" ht="30" x14ac:dyDescent="0.25">
      <c r="A200" s="25">
        <f t="shared" si="8"/>
        <v>194</v>
      </c>
      <c r="B200" s="25">
        <v>2</v>
      </c>
      <c r="C200" s="27" t="str">
        <f>VLOOKUP(B200,TB_FNX_TIPO_MENSAGEM!$A$7:$B$28,2,FALSE)</f>
        <v>Erro</v>
      </c>
      <c r="D200" s="25" t="s">
        <v>1803</v>
      </c>
      <c r="E200" s="25" t="s">
        <v>1810</v>
      </c>
      <c r="F200" s="26" t="s">
        <v>1811</v>
      </c>
      <c r="G200" s="28" t="s">
        <v>1812</v>
      </c>
      <c r="H200" s="25" t="str">
        <f t="shared" ref="H200:H263" si="9">CONCATENATE("#{msg['msg.",$E200,"']}")</f>
        <v>#{msg['msg.AUTH_ERR_SENHA_INVALIDA']}</v>
      </c>
      <c r="I200" s="25" t="str">
        <f t="shared" ref="I200:I263" si="10">CONCATENATE("msg.",$E200)</f>
        <v>msg.AUTH_ERR_SENHA_INVALIDA</v>
      </c>
    </row>
    <row r="201" spans="1:9" x14ac:dyDescent="0.25">
      <c r="A201" s="25">
        <f t="shared" ref="A201:A239" si="11">A200+1</f>
        <v>195</v>
      </c>
      <c r="B201" s="25">
        <v>2</v>
      </c>
      <c r="C201" s="27" t="str">
        <f>VLOOKUP(B201,TB_FNX_TIPO_MENSAGEM!$A$7:$B$28,2,FALSE)</f>
        <v>Erro</v>
      </c>
      <c r="D201" s="25" t="s">
        <v>1803</v>
      </c>
      <c r="E201" s="25" t="s">
        <v>1813</v>
      </c>
      <c r="F201" s="26" t="s">
        <v>1814</v>
      </c>
      <c r="G201" s="28"/>
      <c r="H201" s="25" t="str">
        <f t="shared" si="9"/>
        <v>#{msg['msg.AUTH_ERR_EMAIL_INVALIDO']}</v>
      </c>
      <c r="I201" s="25" t="str">
        <f t="shared" si="10"/>
        <v>msg.AUTH_ERR_EMAIL_INVALIDO</v>
      </c>
    </row>
    <row r="202" spans="1:9" ht="30" x14ac:dyDescent="0.25">
      <c r="A202" s="25">
        <f t="shared" si="11"/>
        <v>196</v>
      </c>
      <c r="B202" s="25">
        <v>2</v>
      </c>
      <c r="C202" s="27" t="str">
        <f>VLOOKUP(B202,TB_FNX_TIPO_MENSAGEM!$A$7:$B$28,2,FALSE)</f>
        <v>Erro</v>
      </c>
      <c r="D202" s="25" t="s">
        <v>1803</v>
      </c>
      <c r="E202" s="25" t="s">
        <v>1815</v>
      </c>
      <c r="F202" s="26" t="s">
        <v>1816</v>
      </c>
      <c r="G202" s="28" t="s">
        <v>1817</v>
      </c>
      <c r="H202" s="25" t="str">
        <f t="shared" si="9"/>
        <v>#{msg['msg.AUTH_ERR_MEIO_INVALIDO']}</v>
      </c>
      <c r="I202" s="25" t="str">
        <f t="shared" si="10"/>
        <v>msg.AUTH_ERR_MEIO_INVALIDO</v>
      </c>
    </row>
    <row r="203" spans="1:9" x14ac:dyDescent="0.25">
      <c r="A203" s="25">
        <f t="shared" si="11"/>
        <v>197</v>
      </c>
      <c r="B203" s="25">
        <v>2</v>
      </c>
      <c r="C203" s="27" t="str">
        <f>VLOOKUP(B203,TB_FNX_TIPO_MENSAGEM!$A$7:$B$28,2,FALSE)</f>
        <v>Erro</v>
      </c>
      <c r="D203" s="25" t="s">
        <v>1803</v>
      </c>
      <c r="E203" s="25" t="s">
        <v>1818</v>
      </c>
      <c r="F203" s="26" t="s">
        <v>1819</v>
      </c>
      <c r="G203" s="28" t="s">
        <v>1820</v>
      </c>
      <c r="H203" s="25" t="str">
        <f t="shared" si="9"/>
        <v>#{msg['msg.AUTH_ERR_EMAIL_NOT_FOUND']}</v>
      </c>
      <c r="I203" s="25" t="str">
        <f t="shared" si="10"/>
        <v>msg.AUTH_ERR_EMAIL_NOT_FOUND</v>
      </c>
    </row>
    <row r="204" spans="1:9" ht="30" x14ac:dyDescent="0.25">
      <c r="A204" s="25">
        <f t="shared" si="11"/>
        <v>198</v>
      </c>
      <c r="B204" s="25">
        <v>2</v>
      </c>
      <c r="C204" s="27" t="str">
        <f>VLOOKUP(B204,TB_FNX_TIPO_MENSAGEM!$A$7:$B$28,2,FALSE)</f>
        <v>Erro</v>
      </c>
      <c r="D204" s="25" t="s">
        <v>1803</v>
      </c>
      <c r="E204" s="25" t="s">
        <v>1821</v>
      </c>
      <c r="F204" s="26" t="s">
        <v>1822</v>
      </c>
      <c r="G204" s="28" t="s">
        <v>1817</v>
      </c>
      <c r="H204" s="25" t="str">
        <f t="shared" si="9"/>
        <v>#{msg['msg.AUTH_ERR_MULTI_EMAIL']}</v>
      </c>
      <c r="I204" s="25" t="str">
        <f t="shared" si="10"/>
        <v>msg.AUTH_ERR_MULTI_EMAIL</v>
      </c>
    </row>
    <row r="205" spans="1:9" ht="30" x14ac:dyDescent="0.25">
      <c r="A205" s="25">
        <f t="shared" si="11"/>
        <v>199</v>
      </c>
      <c r="B205" s="25">
        <v>5</v>
      </c>
      <c r="C205" s="27" t="str">
        <f>VLOOKUP(B205,TB_FNX_TIPO_MENSAGEM!$A$7:$B$28,2,FALSE)</f>
        <v>Confirmação</v>
      </c>
      <c r="D205" s="25" t="s">
        <v>1803</v>
      </c>
      <c r="E205" s="25" t="s">
        <v>1823</v>
      </c>
      <c r="F205" s="26" t="s">
        <v>1824</v>
      </c>
      <c r="G205" s="28"/>
      <c r="H205" s="25" t="str">
        <f t="shared" si="9"/>
        <v>#{msg['msg.AUTH_NOVA_SENHA_ENVIADA']}</v>
      </c>
      <c r="I205" s="25" t="str">
        <f t="shared" si="10"/>
        <v>msg.AUTH_NOVA_SENHA_ENVIADA</v>
      </c>
    </row>
    <row r="206" spans="1:9" x14ac:dyDescent="0.25">
      <c r="A206" s="25">
        <f t="shared" si="11"/>
        <v>200</v>
      </c>
      <c r="B206" s="2">
        <v>5</v>
      </c>
      <c r="C206" s="27" t="str">
        <f>VLOOKUP(B206,TB_FNX_TIPO_MENSAGEM!$A$7:$B$28,2,FALSE)</f>
        <v>Confirmação</v>
      </c>
      <c r="E206" s="10" t="s">
        <v>1858</v>
      </c>
      <c r="F206" s="17" t="s">
        <v>2083</v>
      </c>
      <c r="G206" s="34"/>
      <c r="H206" s="25" t="str">
        <f t="shared" si="9"/>
        <v>#{msg['msg.CONF_AN_PRJ_CONTRATO']}</v>
      </c>
      <c r="I206" s="25" t="str">
        <f t="shared" si="10"/>
        <v>msg.CONF_AN_PRJ_CONTRATO</v>
      </c>
    </row>
    <row r="207" spans="1:9" x14ac:dyDescent="0.25">
      <c r="A207" s="25">
        <f t="shared" si="11"/>
        <v>201</v>
      </c>
      <c r="B207" s="2">
        <v>5</v>
      </c>
      <c r="C207" s="27" t="str">
        <f>VLOOKUP(B207,TB_FNX_TIPO_MENSAGEM!$A$7:$B$28,2,FALSE)</f>
        <v>Confirmação</v>
      </c>
      <c r="E207" s="10" t="s">
        <v>1859</v>
      </c>
      <c r="F207" s="17" t="s">
        <v>2083</v>
      </c>
      <c r="G207" s="34"/>
      <c r="H207" s="25" t="str">
        <f t="shared" si="9"/>
        <v>#{msg['msg.CONF_AN_PRJ']}</v>
      </c>
      <c r="I207" s="25" t="str">
        <f t="shared" si="10"/>
        <v>msg.CONF_AN_PRJ</v>
      </c>
    </row>
    <row r="208" spans="1:9" x14ac:dyDescent="0.25">
      <c r="A208" s="25">
        <f t="shared" si="11"/>
        <v>202</v>
      </c>
      <c r="B208" s="2">
        <v>2</v>
      </c>
      <c r="C208" s="27" t="str">
        <f>VLOOKUP(B208,TB_FNX_TIPO_MENSAGEM!$A$7:$B$28,2,FALSE)</f>
        <v>Erro</v>
      </c>
      <c r="E208" s="10" t="s">
        <v>1860</v>
      </c>
      <c r="F208" s="17" t="s">
        <v>1861</v>
      </c>
      <c r="G208" s="34" t="s">
        <v>1862</v>
      </c>
      <c r="H208" s="25" t="str">
        <f t="shared" si="9"/>
        <v>#{msg['msg.ERR_AN_PRJ_REJEITAR']}</v>
      </c>
      <c r="I208" s="25" t="str">
        <f t="shared" si="10"/>
        <v>msg.ERR_AN_PRJ_REJEITAR</v>
      </c>
    </row>
    <row r="209" spans="1:9" x14ac:dyDescent="0.25">
      <c r="A209" s="25">
        <f t="shared" si="11"/>
        <v>203</v>
      </c>
      <c r="B209" s="2">
        <v>1</v>
      </c>
      <c r="C209" s="27" t="str">
        <f>VLOOKUP(B209,TB_FNX_TIPO_MENSAGEM!$A$7:$B$28,2,FALSE)</f>
        <v>Informação</v>
      </c>
      <c r="E209" s="10" t="s">
        <v>1863</v>
      </c>
      <c r="F209" s="17" t="s">
        <v>25</v>
      </c>
      <c r="G209" s="34" t="s">
        <v>1864</v>
      </c>
      <c r="H209" s="25" t="str">
        <f t="shared" si="9"/>
        <v>#{msg['msg.INFO_AN_PRJ_CONF_REJEICAO']}</v>
      </c>
      <c r="I209" s="25" t="str">
        <f t="shared" si="10"/>
        <v>msg.INFO_AN_PRJ_CONF_REJEICAO</v>
      </c>
    </row>
    <row r="210" spans="1:9" x14ac:dyDescent="0.25">
      <c r="A210" s="25">
        <f t="shared" si="11"/>
        <v>204</v>
      </c>
      <c r="B210" s="2">
        <v>1</v>
      </c>
      <c r="C210" s="27" t="str">
        <f>VLOOKUP(B210,TB_FNX_TIPO_MENSAGEM!$A$7:$B$28,2,FALSE)</f>
        <v>Informação</v>
      </c>
      <c r="E210" s="10" t="s">
        <v>1865</v>
      </c>
      <c r="F210" s="17" t="s">
        <v>25</v>
      </c>
      <c r="G210" s="34" t="s">
        <v>1866</v>
      </c>
      <c r="H210" s="25" t="str">
        <f t="shared" si="9"/>
        <v>#{msg['msg.INFO_AN_PRJ_CONF_NOEMAIL']}</v>
      </c>
      <c r="I210" s="25" t="str">
        <f t="shared" si="10"/>
        <v>msg.INFO_AN_PRJ_CONF_NOEMAIL</v>
      </c>
    </row>
    <row r="211" spans="1:9" x14ac:dyDescent="0.25">
      <c r="A211" s="25">
        <f t="shared" si="11"/>
        <v>205</v>
      </c>
      <c r="B211" s="2">
        <v>2</v>
      </c>
      <c r="C211" s="27" t="str">
        <f>VLOOKUP(B211,TB_FNX_TIPO_MENSAGEM!$A$7:$B$28,2,FALSE)</f>
        <v>Erro</v>
      </c>
      <c r="E211" s="10" t="s">
        <v>1867</v>
      </c>
      <c r="F211" s="17" t="s">
        <v>1868</v>
      </c>
      <c r="G211" s="34" t="s">
        <v>1862</v>
      </c>
      <c r="H211" s="25" t="str">
        <f t="shared" si="9"/>
        <v>#{msg['msg.ERR_AN_PRJ_AJUSTAR']}</v>
      </c>
      <c r="I211" s="25" t="str">
        <f t="shared" si="10"/>
        <v>msg.ERR_AN_PRJ_AJUSTAR</v>
      </c>
    </row>
    <row r="212" spans="1:9" x14ac:dyDescent="0.25">
      <c r="A212" s="25">
        <f t="shared" si="11"/>
        <v>206</v>
      </c>
      <c r="B212" s="2">
        <v>1</v>
      </c>
      <c r="C212" s="27" t="str">
        <f>VLOOKUP(B212,TB_FNX_TIPO_MENSAGEM!$A$7:$B$28,2,FALSE)</f>
        <v>Informação</v>
      </c>
      <c r="E212" s="10" t="s">
        <v>1869</v>
      </c>
      <c r="F212" s="17" t="s">
        <v>25</v>
      </c>
      <c r="G212" s="34" t="s">
        <v>1870</v>
      </c>
      <c r="H212" s="25" t="str">
        <f t="shared" si="9"/>
        <v>#{msg['msg.INFO_AN_PRJ_AJUSTAR']}</v>
      </c>
      <c r="I212" s="25" t="str">
        <f t="shared" si="10"/>
        <v>msg.INFO_AN_PRJ_AJUSTAR</v>
      </c>
    </row>
    <row r="213" spans="1:9" x14ac:dyDescent="0.25">
      <c r="A213" s="25">
        <f t="shared" si="11"/>
        <v>207</v>
      </c>
      <c r="B213" s="2">
        <v>2</v>
      </c>
      <c r="C213" s="27" t="str">
        <f>VLOOKUP(B213,TB_FNX_TIPO_MENSAGEM!$A$7:$B$28,2,FALSE)</f>
        <v>Erro</v>
      </c>
      <c r="E213" s="10" t="s">
        <v>1871</v>
      </c>
      <c r="F213" s="17" t="s">
        <v>1872</v>
      </c>
      <c r="G213" s="34" t="s">
        <v>1862</v>
      </c>
      <c r="H213" s="25" t="str">
        <f t="shared" si="9"/>
        <v>#{msg['msg.ERR_AN_PRJ_APROVAR']}</v>
      </c>
      <c r="I213" s="25" t="str">
        <f t="shared" si="10"/>
        <v>msg.ERR_AN_PRJ_APROVAR</v>
      </c>
    </row>
    <row r="214" spans="1:9" x14ac:dyDescent="0.25">
      <c r="A214" s="25">
        <f t="shared" si="11"/>
        <v>208</v>
      </c>
      <c r="B214" s="2">
        <v>2</v>
      </c>
      <c r="C214" s="27" t="str">
        <f>VLOOKUP(B214,TB_FNX_TIPO_MENSAGEM!$A$7:$B$28,2,FALSE)</f>
        <v>Erro</v>
      </c>
      <c r="E214" s="10" t="s">
        <v>1873</v>
      </c>
      <c r="F214" s="17" t="s">
        <v>1872</v>
      </c>
      <c r="G214" s="34" t="s">
        <v>1874</v>
      </c>
      <c r="H214" s="25" t="str">
        <f t="shared" si="9"/>
        <v>#{msg['msg.ERR_AN_PRJ_CRIAR_COPIA']}</v>
      </c>
      <c r="I214" s="25" t="str">
        <f t="shared" si="10"/>
        <v>msg.ERR_AN_PRJ_CRIAR_COPIA</v>
      </c>
    </row>
    <row r="215" spans="1:9" x14ac:dyDescent="0.25">
      <c r="A215" s="25">
        <f t="shared" si="11"/>
        <v>209</v>
      </c>
      <c r="B215" s="2">
        <v>2</v>
      </c>
      <c r="C215" s="27" t="str">
        <f>VLOOKUP(B215,TB_FNX_TIPO_MENSAGEM!$A$7:$B$28,2,FALSE)</f>
        <v>Erro</v>
      </c>
      <c r="E215" s="10" t="s">
        <v>1875</v>
      </c>
      <c r="F215" s="17" t="s">
        <v>1872</v>
      </c>
      <c r="G215" s="34" t="s">
        <v>1876</v>
      </c>
      <c r="H215" s="25" t="str">
        <f t="shared" si="9"/>
        <v>#{msg['msg.ERR_AN_PRJ_CONTR_DUP']}</v>
      </c>
      <c r="I215" s="25" t="str">
        <f t="shared" si="10"/>
        <v>msg.ERR_AN_PRJ_CONTR_DUP</v>
      </c>
    </row>
    <row r="216" spans="1:9" x14ac:dyDescent="0.25">
      <c r="A216" s="25">
        <f t="shared" si="11"/>
        <v>210</v>
      </c>
      <c r="B216" s="2">
        <v>2</v>
      </c>
      <c r="C216" s="27" t="str">
        <f>VLOOKUP(B216,TB_FNX_TIPO_MENSAGEM!$A$7:$B$28,2,FALSE)</f>
        <v>Erro</v>
      </c>
      <c r="E216" s="10" t="s">
        <v>1877</v>
      </c>
      <c r="F216" s="17" t="s">
        <v>1872</v>
      </c>
      <c r="G216" s="34" t="s">
        <v>1878</v>
      </c>
      <c r="H216" s="25" t="str">
        <f t="shared" si="9"/>
        <v>#{msg['msg.ERR_AN_PRJ_RM']}</v>
      </c>
      <c r="I216" s="25" t="str">
        <f t="shared" si="10"/>
        <v>msg.ERR_AN_PRJ_RM</v>
      </c>
    </row>
    <row r="217" spans="1:9" x14ac:dyDescent="0.25">
      <c r="A217" s="25">
        <f t="shared" si="11"/>
        <v>211</v>
      </c>
      <c r="B217" s="2">
        <v>1</v>
      </c>
      <c r="C217" s="27" t="str">
        <f>VLOOKUP(B217,TB_FNX_TIPO_MENSAGEM!$A$7:$B$28,2,FALSE)</f>
        <v>Informação</v>
      </c>
      <c r="E217" s="10" t="s">
        <v>1879</v>
      </c>
      <c r="F217" s="17" t="s">
        <v>25</v>
      </c>
      <c r="G217" s="34" t="s">
        <v>1880</v>
      </c>
      <c r="H217" s="25" t="str">
        <f t="shared" si="9"/>
        <v>#{msg['msg.INFO_AN_PRJ_APROVAR']}</v>
      </c>
      <c r="I217" s="25" t="str">
        <f t="shared" si="10"/>
        <v>msg.INFO_AN_PRJ_APROVAR</v>
      </c>
    </row>
    <row r="218" spans="1:9" x14ac:dyDescent="0.25">
      <c r="A218" s="25">
        <f t="shared" si="11"/>
        <v>212</v>
      </c>
      <c r="B218" s="2">
        <v>2</v>
      </c>
      <c r="C218" s="27" t="str">
        <f>VLOOKUP(B218,TB_FNX_TIPO_MENSAGEM!$A$7:$B$28,2,FALSE)</f>
        <v>Erro</v>
      </c>
      <c r="E218" s="10" t="s">
        <v>1881</v>
      </c>
      <c r="F218" s="17" t="s">
        <v>1882</v>
      </c>
      <c r="G218" s="34" t="s">
        <v>437</v>
      </c>
      <c r="H218" s="25" t="str">
        <f t="shared" si="9"/>
        <v>#{msg['msg.ERR_AN_PRJ_ALT_STATUS']}</v>
      </c>
      <c r="I218" s="25" t="str">
        <f t="shared" si="10"/>
        <v>msg.ERR_AN_PRJ_ALT_STATUS</v>
      </c>
    </row>
    <row r="219" spans="1:9" x14ac:dyDescent="0.25">
      <c r="A219" s="25">
        <f t="shared" si="11"/>
        <v>213</v>
      </c>
      <c r="B219" s="2">
        <v>2</v>
      </c>
      <c r="C219" s="27" t="str">
        <f>VLOOKUP(B219,TB_FNX_TIPO_MENSAGEM!$A$7:$B$28,2,FALSE)</f>
        <v>Erro</v>
      </c>
      <c r="E219" s="10" t="s">
        <v>1883</v>
      </c>
      <c r="F219" s="17" t="s">
        <v>1884</v>
      </c>
      <c r="G219" s="34" t="s">
        <v>1885</v>
      </c>
      <c r="H219" s="25" t="str">
        <f t="shared" si="9"/>
        <v>#{msg['msg.ERR_AN_PRJ_FALHA_GRAVAR']}</v>
      </c>
      <c r="I219" s="25" t="str">
        <f t="shared" si="10"/>
        <v>msg.ERR_AN_PRJ_FALHA_GRAVAR</v>
      </c>
    </row>
    <row r="220" spans="1:9" x14ac:dyDescent="0.25">
      <c r="A220" s="25">
        <f t="shared" si="11"/>
        <v>214</v>
      </c>
      <c r="B220" s="35">
        <v>2</v>
      </c>
      <c r="C220" s="27" t="str">
        <f>VLOOKUP(B220,TB_FNX_TIPO_MENSAGEM!$A$7:$B$28,2,FALSE)</f>
        <v>Erro</v>
      </c>
      <c r="D220" s="36"/>
      <c r="E220" s="36" t="s">
        <v>1966</v>
      </c>
      <c r="F220" s="37" t="s">
        <v>1872</v>
      </c>
      <c r="G220" s="36" t="s">
        <v>1967</v>
      </c>
      <c r="H220" s="25" t="str">
        <f t="shared" si="9"/>
        <v>#{msg['msg.ERR_AN_PRJ_PENDENCIA']}</v>
      </c>
      <c r="I220" s="25" t="str">
        <f t="shared" si="10"/>
        <v>msg.ERR_AN_PRJ_PENDENCIA</v>
      </c>
    </row>
    <row r="221" spans="1:9" x14ac:dyDescent="0.25">
      <c r="A221" s="25">
        <f t="shared" si="11"/>
        <v>215</v>
      </c>
      <c r="B221" s="35">
        <v>2</v>
      </c>
      <c r="C221" s="27" t="str">
        <f>VLOOKUP(B221,TB_FNX_TIPO_MENSAGEM!$A$7:$B$28,2,FALSE)</f>
        <v>Erro</v>
      </c>
      <c r="D221" s="36"/>
      <c r="E221" s="36" t="s">
        <v>1968</v>
      </c>
      <c r="F221" s="36" t="s">
        <v>1637</v>
      </c>
      <c r="G221" s="36" t="s">
        <v>1969</v>
      </c>
      <c r="H221" s="25" t="str">
        <f t="shared" si="9"/>
        <v>#{msg['msg.ERR_IN_PRJ_EXEC_INDEFINIDA']}</v>
      </c>
      <c r="I221" s="25" t="str">
        <f t="shared" si="10"/>
        <v>msg.ERR_IN_PRJ_EXEC_INDEFINIDA</v>
      </c>
    </row>
    <row r="222" spans="1:9" x14ac:dyDescent="0.25">
      <c r="A222" s="25">
        <f t="shared" si="11"/>
        <v>216</v>
      </c>
      <c r="B222" s="35">
        <v>2</v>
      </c>
      <c r="C222" s="27" t="str">
        <f>VLOOKUP(B222,TB_FNX_TIPO_MENSAGEM!$A$7:$B$28,2,FALSE)</f>
        <v>Erro</v>
      </c>
      <c r="D222" s="36"/>
      <c r="E222" s="36" t="s">
        <v>1970</v>
      </c>
      <c r="F222" s="36" t="s">
        <v>1637</v>
      </c>
      <c r="G222" s="36" t="s">
        <v>1971</v>
      </c>
      <c r="H222" s="25" t="str">
        <f t="shared" si="9"/>
        <v>#{msg['msg.ERR_IN_PRJ_PERIODO_INVAL']}</v>
      </c>
      <c r="I222" s="25" t="str">
        <f t="shared" si="10"/>
        <v>msg.ERR_IN_PRJ_PERIODO_INVAL</v>
      </c>
    </row>
    <row r="223" spans="1:9" x14ac:dyDescent="0.25">
      <c r="A223" s="25">
        <f t="shared" si="11"/>
        <v>217</v>
      </c>
      <c r="B223" s="35">
        <v>2</v>
      </c>
      <c r="C223" s="27" t="str">
        <f>VLOOKUP(B223,TB_FNX_TIPO_MENSAGEM!$A$7:$B$28,2,FALSE)</f>
        <v>Erro</v>
      </c>
      <c r="E223" s="25" t="s">
        <v>1994</v>
      </c>
      <c r="F223" s="4" t="s">
        <v>1997</v>
      </c>
      <c r="G223" s="18" t="s">
        <v>1995</v>
      </c>
      <c r="H223" s="25" t="str">
        <f t="shared" si="9"/>
        <v>#{msg['msg.ERR_GORC_ITEM_NAO_SELEC']}</v>
      </c>
      <c r="I223" s="25" t="str">
        <f t="shared" si="10"/>
        <v>msg.ERR_GORC_ITEM_NAO_SELEC</v>
      </c>
    </row>
    <row r="224" spans="1:9" ht="30" x14ac:dyDescent="0.25">
      <c r="A224" s="25">
        <f t="shared" si="11"/>
        <v>218</v>
      </c>
      <c r="B224" s="35">
        <v>2</v>
      </c>
      <c r="C224" s="27" t="str">
        <f>VLOOKUP(B224,TB_FNX_TIPO_MENSAGEM!$A$7:$B$28,2,FALSE)</f>
        <v>Erro</v>
      </c>
      <c r="E224" s="2" t="s">
        <v>1996</v>
      </c>
      <c r="F224" s="26" t="s">
        <v>1139</v>
      </c>
      <c r="G224" s="18" t="s">
        <v>2034</v>
      </c>
      <c r="H224" s="25" t="str">
        <f t="shared" si="9"/>
        <v>#{msg['msg.ERR_GORC_VLR_ORC_ZERO']}</v>
      </c>
      <c r="I224" s="25" t="str">
        <f t="shared" si="10"/>
        <v>msg.ERR_GORC_VLR_ORC_ZERO</v>
      </c>
    </row>
    <row r="225" spans="1:9" x14ac:dyDescent="0.25">
      <c r="A225" s="25">
        <f t="shared" si="11"/>
        <v>219</v>
      </c>
      <c r="B225" s="35">
        <v>2</v>
      </c>
      <c r="C225" s="27" t="str">
        <f>VLOOKUP(B225,TB_FNX_TIPO_MENSAGEM!$A$7:$B$28,2,FALSE)</f>
        <v>Erro</v>
      </c>
      <c r="E225" s="2" t="s">
        <v>2031</v>
      </c>
      <c r="F225" s="26" t="s">
        <v>1139</v>
      </c>
      <c r="G225" s="18" t="s">
        <v>2033</v>
      </c>
      <c r="H225" s="25" t="str">
        <f t="shared" si="9"/>
        <v>#{msg['msg.ERR_GORC_TETO_APEX_MENOR']}</v>
      </c>
      <c r="I225" s="25" t="str">
        <f t="shared" si="10"/>
        <v>msg.ERR_GORC_TETO_APEX_MENOR</v>
      </c>
    </row>
    <row r="226" spans="1:9" x14ac:dyDescent="0.25">
      <c r="A226" s="25">
        <f t="shared" si="11"/>
        <v>220</v>
      </c>
      <c r="B226" s="35">
        <v>2</v>
      </c>
      <c r="C226" s="27" t="str">
        <f>VLOOKUP(B226,TB_FNX_TIPO_MENSAGEM!$A$7:$B$28,2,FALSE)</f>
        <v>Erro</v>
      </c>
      <c r="E226" s="2" t="s">
        <v>1998</v>
      </c>
      <c r="F226" s="40" t="s">
        <v>1139</v>
      </c>
      <c r="G226" s="18" t="s">
        <v>1999</v>
      </c>
      <c r="H226" s="25" t="str">
        <f t="shared" si="9"/>
        <v>#{msg['msg.ERR_GORC_ANO_EXISTE']}</v>
      </c>
      <c r="I226" s="25" t="str">
        <f t="shared" si="10"/>
        <v>msg.ERR_GORC_ANO_EXISTE</v>
      </c>
    </row>
    <row r="227" spans="1:9" x14ac:dyDescent="0.25">
      <c r="A227" s="25">
        <f t="shared" si="11"/>
        <v>221</v>
      </c>
      <c r="B227" s="35">
        <v>2</v>
      </c>
      <c r="C227" s="27" t="str">
        <f>VLOOKUP(B227,TB_FNX_TIPO_MENSAGEM!$A$7:$B$28,2,FALSE)</f>
        <v>Erro</v>
      </c>
      <c r="E227" s="25" t="s">
        <v>2035</v>
      </c>
      <c r="F227" s="40" t="s">
        <v>1139</v>
      </c>
      <c r="G227" s="28" t="s">
        <v>2032</v>
      </c>
      <c r="H227" s="25" t="str">
        <f t="shared" si="9"/>
        <v>#{msg['msg.ERR_GORC_TETO_EXTERNO_MENOR']}</v>
      </c>
      <c r="I227" s="25" t="str">
        <f t="shared" si="10"/>
        <v>msg.ERR_GORC_TETO_EXTERNO_MENOR</v>
      </c>
    </row>
    <row r="228" spans="1:9" x14ac:dyDescent="0.25">
      <c r="A228" s="25">
        <f t="shared" si="11"/>
        <v>222</v>
      </c>
      <c r="B228" s="25">
        <v>1</v>
      </c>
      <c r="C228" s="27" t="str">
        <f>VLOOKUP(B228,TB_FNX_TIPO_MENSAGEM!$A$7:$B$28,2,FALSE)</f>
        <v>Informação</v>
      </c>
      <c r="E228" s="25" t="s">
        <v>2042</v>
      </c>
      <c r="F228" s="40" t="s">
        <v>2043</v>
      </c>
      <c r="G228" s="18" t="s">
        <v>2044</v>
      </c>
      <c r="H228" s="25" t="str">
        <f t="shared" si="9"/>
        <v>#{msg['msg.INFO_MEM_CALC_GRAVADO_FILTRO']}</v>
      </c>
      <c r="I228" s="25" t="str">
        <f t="shared" si="10"/>
        <v>msg.INFO_MEM_CALC_GRAVADO_FILTRO</v>
      </c>
    </row>
    <row r="229" spans="1:9" ht="30" x14ac:dyDescent="0.25">
      <c r="A229" s="25">
        <f t="shared" si="11"/>
        <v>223</v>
      </c>
      <c r="B229" s="25">
        <v>5</v>
      </c>
      <c r="C229" s="27" t="str">
        <f>VLOOKUP(B229,TB_FNX_TIPO_MENSAGEM!$A$7:$B$28,2,FALSE)</f>
        <v>Confirmação</v>
      </c>
      <c r="E229" s="2" t="s">
        <v>2045</v>
      </c>
      <c r="F229" s="41" t="s">
        <v>2047</v>
      </c>
      <c r="H229" s="25" t="str">
        <f t="shared" si="9"/>
        <v>#{msg['msg.CONF_MEM_CALC_CANCEL_FILTRO']}</v>
      </c>
      <c r="I229" s="25" t="str">
        <f t="shared" si="10"/>
        <v>msg.CONF_MEM_CALC_CANCEL_FILTRO</v>
      </c>
    </row>
    <row r="230" spans="1:9" x14ac:dyDescent="0.25">
      <c r="A230" s="25">
        <f t="shared" si="11"/>
        <v>224</v>
      </c>
      <c r="B230" s="25">
        <v>5</v>
      </c>
      <c r="C230" s="27" t="str">
        <f>VLOOKUP(B230,TB_FNX_TIPO_MENSAGEM!$A$7:$B$28,2,FALSE)</f>
        <v>Confirmação</v>
      </c>
      <c r="E230" s="2" t="s">
        <v>2048</v>
      </c>
      <c r="F230" s="40" t="s">
        <v>2046</v>
      </c>
      <c r="G230" s="18" t="s">
        <v>2049</v>
      </c>
      <c r="H230" s="25" t="str">
        <f t="shared" si="9"/>
        <v>#{msg['msg.CONF_INCLUSAO']}</v>
      </c>
      <c r="I230" s="25" t="str">
        <f t="shared" si="10"/>
        <v>msg.CONF_INCLUSAO</v>
      </c>
    </row>
    <row r="231" spans="1:9" x14ac:dyDescent="0.25">
      <c r="A231" s="25">
        <f t="shared" si="11"/>
        <v>225</v>
      </c>
      <c r="B231" s="32">
        <v>2</v>
      </c>
      <c r="C231" s="27" t="str">
        <f>VLOOKUP(B231,TB_FNX_TIPO_MENSAGEM!$A$7:$B$28,2,FALSE)</f>
        <v>Erro</v>
      </c>
      <c r="D231"/>
      <c r="E231" s="32" t="s">
        <v>2080</v>
      </c>
      <c r="F231" s="42" t="s">
        <v>1139</v>
      </c>
      <c r="G231" s="32" t="s">
        <v>2081</v>
      </c>
      <c r="H231" s="25" t="str">
        <f t="shared" si="9"/>
        <v>#{msg['msg.ERR_METAS_VLR_SUP_CEM']}</v>
      </c>
      <c r="I231" s="25" t="str">
        <f t="shared" si="10"/>
        <v>msg.ERR_METAS_VLR_SUP_CEM</v>
      </c>
    </row>
    <row r="232" spans="1:9" x14ac:dyDescent="0.25">
      <c r="A232" s="25">
        <f t="shared" si="11"/>
        <v>226</v>
      </c>
      <c r="B232" s="32">
        <v>2</v>
      </c>
      <c r="C232" s="27" t="str">
        <f>VLOOKUP(B232,TB_FNX_TIPO_MENSAGEM!$A$7:$B$28,2,FALSE)</f>
        <v>Erro</v>
      </c>
      <c r="D232"/>
      <c r="E232" s="32" t="s">
        <v>2082</v>
      </c>
      <c r="F232" s="42" t="s">
        <v>2240</v>
      </c>
      <c r="G232" s="32" t="s">
        <v>2104</v>
      </c>
      <c r="H232" s="25" t="str">
        <f t="shared" si="9"/>
        <v>#{msg['msg.ERR_ENVPROJ_SEM_META']}</v>
      </c>
      <c r="I232" s="25" t="str">
        <f t="shared" si="10"/>
        <v>msg.ERR_ENVPROJ_SEM_META</v>
      </c>
    </row>
    <row r="233" spans="1:9" x14ac:dyDescent="0.25">
      <c r="A233" s="25">
        <f t="shared" si="11"/>
        <v>227</v>
      </c>
      <c r="B233" s="32">
        <v>2</v>
      </c>
      <c r="C233" s="27" t="str">
        <f>VLOOKUP(B233,TB_FNX_TIPO_MENSAGEM!$A$7:$B$28,2,FALSE)</f>
        <v>Erro</v>
      </c>
      <c r="E233" s="2" t="s">
        <v>2084</v>
      </c>
      <c r="F233" s="39" t="s">
        <v>2238</v>
      </c>
      <c r="G233" s="18" t="s">
        <v>2102</v>
      </c>
      <c r="H233" s="25" t="str">
        <f t="shared" si="9"/>
        <v>#{msg['msg.ERR_ENVPROJ_ACAO_SEM_PAIS']}</v>
      </c>
      <c r="I233" s="25" t="str">
        <f t="shared" si="10"/>
        <v>msg.ERR_ENVPROJ_ACAO_SEM_PAIS</v>
      </c>
    </row>
    <row r="234" spans="1:9" x14ac:dyDescent="0.25">
      <c r="A234" s="25">
        <f t="shared" si="11"/>
        <v>228</v>
      </c>
      <c r="B234" s="32">
        <v>2</v>
      </c>
      <c r="C234" s="27" t="str">
        <f>VLOOKUP(B234,TB_FNX_TIPO_MENSAGEM!$A$7:$B$28,2,FALSE)</f>
        <v>Erro</v>
      </c>
      <c r="E234" s="25" t="s">
        <v>2085</v>
      </c>
      <c r="F234" s="39" t="s">
        <v>2086</v>
      </c>
      <c r="H234" s="25" t="str">
        <f t="shared" si="9"/>
        <v>#{msg['msg.ERR_ENVPROJ_PAIS_NAO_DEFINIDO']}</v>
      </c>
      <c r="I234" s="25" t="str">
        <f t="shared" si="10"/>
        <v>msg.ERR_ENVPROJ_PAIS_NAO_DEFINIDO</v>
      </c>
    </row>
    <row r="235" spans="1:9" x14ac:dyDescent="0.25">
      <c r="A235" s="25">
        <f t="shared" si="11"/>
        <v>229</v>
      </c>
      <c r="B235" s="32">
        <v>2</v>
      </c>
      <c r="C235" s="27" t="str">
        <f>VLOOKUP(B235,TB_FNX_TIPO_MENSAGEM!$A$7:$B$28,2,FALSE)</f>
        <v>Erro</v>
      </c>
      <c r="E235" s="2" t="s">
        <v>2098</v>
      </c>
      <c r="F235" s="39" t="s">
        <v>2239</v>
      </c>
      <c r="G235" s="28" t="s">
        <v>2103</v>
      </c>
      <c r="H235" s="25" t="str">
        <f t="shared" si="9"/>
        <v>#{msg['msg.ERR_ENVPROJ_SEM_CNAE']}</v>
      </c>
      <c r="I235" s="25" t="str">
        <f t="shared" si="10"/>
        <v>msg.ERR_ENVPROJ_SEM_CNAE</v>
      </c>
    </row>
    <row r="236" spans="1:9" x14ac:dyDescent="0.25">
      <c r="A236" s="25">
        <f t="shared" si="11"/>
        <v>230</v>
      </c>
      <c r="B236" s="32">
        <v>2</v>
      </c>
      <c r="C236" s="27" t="str">
        <f>VLOOKUP(B236,TB_FNX_TIPO_MENSAGEM!$A$7:$B$28,2,FALSE)</f>
        <v>Erro</v>
      </c>
      <c r="E236" s="2" t="s">
        <v>2099</v>
      </c>
      <c r="F236" s="40" t="s">
        <v>2100</v>
      </c>
      <c r="G236" s="18" t="s">
        <v>2101</v>
      </c>
      <c r="H236" s="25" t="str">
        <f t="shared" si="9"/>
        <v>#{msg['msg.ERR_ENVPROJ_CNAE_MUDANCA']}</v>
      </c>
      <c r="I236" s="25" t="str">
        <f t="shared" si="10"/>
        <v>msg.ERR_ENVPROJ_CNAE_MUDANCA</v>
      </c>
    </row>
    <row r="237" spans="1:9" x14ac:dyDescent="0.25">
      <c r="A237" s="25">
        <f t="shared" si="11"/>
        <v>231</v>
      </c>
      <c r="B237" s="32">
        <v>2</v>
      </c>
      <c r="C237" s="27" t="str">
        <f>VLOOKUP(B237,TB_FNX_TIPO_MENSAGEM!$A$7:$B$28,2,FALSE)</f>
        <v>Erro</v>
      </c>
      <c r="E237" s="2" t="s">
        <v>2105</v>
      </c>
      <c r="F237" s="40" t="s">
        <v>2106</v>
      </c>
      <c r="G237" s="26"/>
      <c r="H237" s="25" t="str">
        <f t="shared" si="9"/>
        <v>#{msg['msg.ERR_AC_PAIS_NAO_DEFINIDO']}</v>
      </c>
      <c r="I237" s="25" t="str">
        <f t="shared" si="10"/>
        <v>msg.ERR_AC_PAIS_NAO_DEFINIDO</v>
      </c>
    </row>
    <row r="238" spans="1:9" ht="30" x14ac:dyDescent="0.25">
      <c r="A238" s="25">
        <f t="shared" si="11"/>
        <v>232</v>
      </c>
      <c r="B238" s="25">
        <v>3</v>
      </c>
      <c r="C238" s="27" t="str">
        <f>VLOOKUP(B238,TB_FNX_TIPO_MENSAGEM!$A$7:$B$28,2,FALSE)</f>
        <v>Alerta</v>
      </c>
      <c r="D238" s="25"/>
      <c r="E238" s="25" t="s">
        <v>2127</v>
      </c>
      <c r="F238" s="40" t="s">
        <v>2128</v>
      </c>
      <c r="G238" s="28" t="s">
        <v>2126</v>
      </c>
      <c r="H238" s="25" t="str">
        <f t="shared" si="9"/>
        <v>#{msg['msg.ALERTA_CNAE_DESASSOCIACAO']}</v>
      </c>
      <c r="I238" s="25" t="str">
        <f t="shared" si="10"/>
        <v>msg.ALERTA_CNAE_DESASSOCIACAO</v>
      </c>
    </row>
    <row r="239" spans="1:9" ht="50.25" customHeight="1" x14ac:dyDescent="0.25">
      <c r="A239" s="25">
        <f t="shared" si="11"/>
        <v>233</v>
      </c>
      <c r="B239" s="2">
        <v>3</v>
      </c>
      <c r="C239" s="27" t="str">
        <f>VLOOKUP(B239,TB_FNX_TIPO_MENSAGEM!$A$7:$B$28,2,FALSE)</f>
        <v>Alerta</v>
      </c>
      <c r="D239" s="2" t="s">
        <v>670</v>
      </c>
      <c r="E239" s="2" t="s">
        <v>2137</v>
      </c>
      <c r="F239" s="40" t="s">
        <v>2136</v>
      </c>
      <c r="H239" s="25" t="str">
        <f t="shared" si="9"/>
        <v>#{msg['msg.MEM_CALC_ALTERADA_AVISO_BTN']}</v>
      </c>
      <c r="I239" s="25" t="str">
        <f t="shared" si="10"/>
        <v>msg.MEM_CALC_ALTERADA_AVISO_BTN</v>
      </c>
    </row>
    <row r="240" spans="1:9" ht="30" x14ac:dyDescent="0.25">
      <c r="A240" s="25">
        <f t="shared" ref="A240:A261" si="12">A239+1</f>
        <v>234</v>
      </c>
      <c r="B240" s="25">
        <v>3</v>
      </c>
      <c r="C240" s="27" t="str">
        <f>VLOOKUP(B240,TB_FNX_TIPO_MENSAGEM!$A$7:$B$28,2,FALSE)</f>
        <v>Alerta</v>
      </c>
      <c r="D240" s="25" t="s">
        <v>670</v>
      </c>
      <c r="E240" s="25" t="s">
        <v>2135</v>
      </c>
      <c r="F240" s="40" t="s">
        <v>2138</v>
      </c>
      <c r="H240" s="25" t="str">
        <f t="shared" si="9"/>
        <v>#{msg['msg.MEM_CALC_TOTAIS_DESATUALIZADOS']}</v>
      </c>
      <c r="I240" s="25" t="str">
        <f t="shared" si="10"/>
        <v>msg.MEM_CALC_TOTAIS_DESATUALIZADOS</v>
      </c>
    </row>
    <row r="241" spans="1:9" x14ac:dyDescent="0.25">
      <c r="A241" s="25">
        <f t="shared" si="12"/>
        <v>235</v>
      </c>
      <c r="B241" s="25">
        <v>5</v>
      </c>
      <c r="C241" s="27" t="str">
        <f>VLOOKUP(B241,TB_FNX_TIPO_MENSAGEM!$A$7:$B$28,2,FALSE)</f>
        <v>Confirmação</v>
      </c>
      <c r="D241" s="25"/>
      <c r="E241" s="25" t="s">
        <v>2139</v>
      </c>
      <c r="F241" s="25" t="s">
        <v>2129</v>
      </c>
      <c r="G241" s="28"/>
      <c r="H241" s="25" t="str">
        <f t="shared" si="9"/>
        <v>#{msg['msg.CONF_CNAE_IMPORTADO']}</v>
      </c>
      <c r="I241" s="25" t="str">
        <f t="shared" si="10"/>
        <v>msg.CONF_CNAE_IMPORTADO</v>
      </c>
    </row>
    <row r="242" spans="1:9" x14ac:dyDescent="0.25">
      <c r="A242" s="25">
        <f t="shared" si="12"/>
        <v>236</v>
      </c>
      <c r="B242" s="25">
        <v>1</v>
      </c>
      <c r="C242" s="27" t="str">
        <f>VLOOKUP(B242,TB_FNX_TIPO_MENSAGEM!$A$7:$B$28,2,FALSE)</f>
        <v>Informação</v>
      </c>
      <c r="D242" s="25"/>
      <c r="E242" s="25" t="s">
        <v>2140</v>
      </c>
      <c r="F242" s="25" t="s">
        <v>2130</v>
      </c>
      <c r="H242" s="25" t="str">
        <f t="shared" si="9"/>
        <v>#{msg['msg.INFO_CNAE_DIGITOS']}</v>
      </c>
      <c r="I242" s="25" t="str">
        <f t="shared" si="10"/>
        <v>msg.INFO_CNAE_DIGITOS</v>
      </c>
    </row>
    <row r="243" spans="1:9" x14ac:dyDescent="0.25">
      <c r="A243" s="25">
        <f t="shared" si="12"/>
        <v>237</v>
      </c>
      <c r="B243" s="25">
        <v>1</v>
      </c>
      <c r="C243" s="27" t="str">
        <f>VLOOKUP(B243,TB_FNX_TIPO_MENSAGEM!$A$7:$B$28,2,FALSE)</f>
        <v>Informação</v>
      </c>
      <c r="D243" s="2" t="s">
        <v>907</v>
      </c>
      <c r="E243" s="2" t="s">
        <v>2146</v>
      </c>
      <c r="F243" s="4" t="s">
        <v>2149</v>
      </c>
      <c r="H243" s="25" t="str">
        <f t="shared" si="9"/>
        <v>#{msg['msg.INFO_PC_ARQUIVO']}</v>
      </c>
      <c r="I243" s="25" t="str">
        <f t="shared" si="10"/>
        <v>msg.INFO_PC_ARQUIVO</v>
      </c>
    </row>
    <row r="244" spans="1:9" x14ac:dyDescent="0.25">
      <c r="A244" s="25">
        <f t="shared" si="12"/>
        <v>238</v>
      </c>
      <c r="B244" s="25">
        <v>1</v>
      </c>
      <c r="C244" s="27" t="str">
        <f>VLOOKUP(B244,TB_FNX_TIPO_MENSAGEM!$A$7:$B$28,2,FALSE)</f>
        <v>Informação</v>
      </c>
      <c r="D244" s="25" t="s">
        <v>907</v>
      </c>
      <c r="E244" s="2" t="s">
        <v>2147</v>
      </c>
      <c r="F244" s="4" t="s">
        <v>2148</v>
      </c>
      <c r="H244" s="25" t="str">
        <f t="shared" si="9"/>
        <v>#{msg['msg.INFO_PC_RELATORIO']}</v>
      </c>
      <c r="I244" s="25" t="str">
        <f t="shared" si="10"/>
        <v>msg.INFO_PC_RELATORIO</v>
      </c>
    </row>
    <row r="245" spans="1:9" x14ac:dyDescent="0.25">
      <c r="A245" s="25">
        <f t="shared" si="12"/>
        <v>239</v>
      </c>
      <c r="B245" s="32">
        <v>2</v>
      </c>
      <c r="C245" s="27" t="str">
        <f>VLOOKUP(B245,TB_FNX_TIPO_MENSAGEM!$A$7:$B$28,2,FALSE)</f>
        <v>Erro</v>
      </c>
      <c r="D245" s="25" t="s">
        <v>907</v>
      </c>
      <c r="E245" s="2" t="s">
        <v>2162</v>
      </c>
      <c r="F245" s="4" t="s">
        <v>2163</v>
      </c>
      <c r="G245" s="18" t="s">
        <v>2166</v>
      </c>
      <c r="H245" s="25" t="str">
        <f t="shared" si="9"/>
        <v>#{msg['msg.ERR_PC_DOC_SEM_ECM']}</v>
      </c>
      <c r="I245" s="25" t="str">
        <f t="shared" si="10"/>
        <v>msg.ERR_PC_DOC_SEM_ECM</v>
      </c>
    </row>
    <row r="246" spans="1:9" x14ac:dyDescent="0.25">
      <c r="A246" s="25">
        <f t="shared" si="12"/>
        <v>240</v>
      </c>
      <c r="B246" s="32">
        <v>2</v>
      </c>
      <c r="C246" s="27" t="str">
        <f>VLOOKUP(B246,TB_FNX_TIPO_MENSAGEM!$A$7:$B$28,2,FALSE)</f>
        <v>Erro</v>
      </c>
      <c r="D246" s="25" t="s">
        <v>907</v>
      </c>
      <c r="E246" s="2" t="s">
        <v>2164</v>
      </c>
      <c r="F246" s="4" t="s">
        <v>436</v>
      </c>
      <c r="G246" s="18" t="s">
        <v>2165</v>
      </c>
      <c r="H246" s="25" t="str">
        <f t="shared" si="9"/>
        <v>#{msg['msg.ERR_PC_LER_DOC']}</v>
      </c>
      <c r="I246" s="25" t="str">
        <f t="shared" si="10"/>
        <v>msg.ERR_PC_LER_DOC</v>
      </c>
    </row>
    <row r="247" spans="1:9" x14ac:dyDescent="0.25">
      <c r="A247" s="25">
        <f t="shared" si="12"/>
        <v>241</v>
      </c>
      <c r="B247" s="32">
        <v>2</v>
      </c>
      <c r="C247" s="27" t="str">
        <f>VLOOKUP(B247,TB_FNX_TIPO_MENSAGEM!$A$7:$B$28,2,FALSE)</f>
        <v>Erro</v>
      </c>
      <c r="D247" s="25" t="s">
        <v>907</v>
      </c>
      <c r="E247" s="2" t="s">
        <v>2169</v>
      </c>
      <c r="F247" s="26" t="s">
        <v>2163</v>
      </c>
      <c r="G247" s="18" t="s">
        <v>2167</v>
      </c>
      <c r="H247" s="25" t="str">
        <f t="shared" si="9"/>
        <v>#{msg['msg.ERR_PC_DOC_ECM_NAO_EXISTE']}</v>
      </c>
      <c r="I247" s="25" t="str">
        <f t="shared" si="10"/>
        <v>msg.ERR_PC_DOC_ECM_NAO_EXISTE</v>
      </c>
    </row>
    <row r="248" spans="1:9" x14ac:dyDescent="0.25">
      <c r="A248" s="25">
        <f t="shared" si="12"/>
        <v>242</v>
      </c>
      <c r="B248" s="32">
        <v>2</v>
      </c>
      <c r="C248" s="27" t="str">
        <f>VLOOKUP(B248,TB_FNX_TIPO_MENSAGEM!$A$7:$B$28,2,FALSE)</f>
        <v>Erro</v>
      </c>
      <c r="D248" s="25" t="s">
        <v>907</v>
      </c>
      <c r="E248" s="2" t="s">
        <v>2170</v>
      </c>
      <c r="F248" s="26" t="s">
        <v>2163</v>
      </c>
      <c r="G248" s="18" t="s">
        <v>2168</v>
      </c>
      <c r="H248" s="25" t="str">
        <f t="shared" si="9"/>
        <v>#{msg['msg.ERR_PC_DOC_NAO_EXISTE']}</v>
      </c>
      <c r="I248" s="25" t="str">
        <f t="shared" si="10"/>
        <v>msg.ERR_PC_DOC_NAO_EXISTE</v>
      </c>
    </row>
    <row r="249" spans="1:9" x14ac:dyDescent="0.25">
      <c r="A249" s="25">
        <f t="shared" si="12"/>
        <v>243</v>
      </c>
      <c r="B249" s="32">
        <v>2</v>
      </c>
      <c r="C249" s="27" t="str">
        <f>VLOOKUP(B249,TB_FNX_TIPO_MENSAGEM!$A$7:$B$28,2,FALSE)</f>
        <v>Erro</v>
      </c>
      <c r="D249" s="25" t="s">
        <v>907</v>
      </c>
      <c r="E249" s="25" t="s">
        <v>2172</v>
      </c>
      <c r="F249" s="26" t="s">
        <v>2171</v>
      </c>
      <c r="G249" s="28" t="s">
        <v>2173</v>
      </c>
      <c r="H249" s="25" t="str">
        <f t="shared" si="9"/>
        <v>#{msg['msg.ERR_PC_ARQ_NAO_SELECIONADO']}</v>
      </c>
      <c r="I249" s="25" t="str">
        <f t="shared" si="10"/>
        <v>msg.ERR_PC_ARQ_NAO_SELECIONADO</v>
      </c>
    </row>
    <row r="250" spans="1:9" ht="60" x14ac:dyDescent="0.25">
      <c r="A250" s="25">
        <f t="shared" si="12"/>
        <v>244</v>
      </c>
      <c r="B250" s="25">
        <v>1</v>
      </c>
      <c r="C250" s="27" t="str">
        <f>VLOOKUP(B250,TB_FNX_TIPO_MENSAGEM!$A$7:$B$28,2,FALSE)</f>
        <v>Informação</v>
      </c>
      <c r="D250" s="2" t="s">
        <v>670</v>
      </c>
      <c r="E250" s="2" t="s">
        <v>2177</v>
      </c>
      <c r="F250" s="18" t="s">
        <v>2176</v>
      </c>
      <c r="H250" s="25" t="str">
        <f t="shared" si="9"/>
        <v>#{msg['msg.INFO_MEM_CALC_NAO_EXCLUIR']}</v>
      </c>
      <c r="I250" s="25" t="str">
        <f t="shared" si="10"/>
        <v>msg.INFO_MEM_CALC_NAO_EXCLUIR</v>
      </c>
    </row>
    <row r="251" spans="1:9" ht="30" x14ac:dyDescent="0.25">
      <c r="A251" s="25">
        <f t="shared" si="12"/>
        <v>245</v>
      </c>
      <c r="B251" s="32">
        <v>2</v>
      </c>
      <c r="C251" s="27" t="str">
        <f>VLOOKUP(B251,TB_FNX_TIPO_MENSAGEM!$A$7:$B$28,2,FALSE)</f>
        <v>Erro</v>
      </c>
      <c r="D251" s="2" t="s">
        <v>670</v>
      </c>
      <c r="E251" s="2" t="s">
        <v>2178</v>
      </c>
      <c r="F251" s="4" t="s">
        <v>2175</v>
      </c>
      <c r="G251" s="18" t="s">
        <v>2174</v>
      </c>
      <c r="H251" s="25" t="str">
        <f t="shared" si="9"/>
        <v>#{msg['msg.ERR_MEM_CALC_VLAPEX_VLREAL']}</v>
      </c>
      <c r="I251" s="25" t="str">
        <f t="shared" si="10"/>
        <v>msg.ERR_MEM_CALC_VLAPEX_VLREAL</v>
      </c>
    </row>
    <row r="252" spans="1:9" x14ac:dyDescent="0.25">
      <c r="A252" s="25">
        <f t="shared" si="12"/>
        <v>246</v>
      </c>
      <c r="B252" s="32">
        <v>2</v>
      </c>
      <c r="C252" s="27" t="str">
        <f>VLOOKUP(B252,TB_FNX_TIPO_MENSAGEM!$A$7:$B$28,2,FALSE)</f>
        <v>Erro</v>
      </c>
      <c r="D252" s="2" t="s">
        <v>2181</v>
      </c>
      <c r="E252" s="2" t="s">
        <v>2179</v>
      </c>
      <c r="F252" s="4" t="s">
        <v>2180</v>
      </c>
      <c r="G252" s="18" t="s">
        <v>2185</v>
      </c>
      <c r="H252" s="25" t="str">
        <f t="shared" si="9"/>
        <v>#{msg['msg.ERR_LANC_DTPGTO_DTPROJETO']}</v>
      </c>
      <c r="I252" s="25" t="str">
        <f t="shared" si="10"/>
        <v>msg.ERR_LANC_DTPGTO_DTPROJETO</v>
      </c>
    </row>
    <row r="253" spans="1:9" x14ac:dyDescent="0.25">
      <c r="A253" s="25">
        <f t="shared" si="12"/>
        <v>247</v>
      </c>
      <c r="B253" s="32">
        <v>2</v>
      </c>
      <c r="C253" s="27" t="str">
        <f>VLOOKUP(B253,TB_FNX_TIPO_MENSAGEM!$A$7:$B$28,2,FALSE)</f>
        <v>Erro</v>
      </c>
      <c r="D253" s="25" t="s">
        <v>2181</v>
      </c>
      <c r="E253" s="25" t="s">
        <v>2183</v>
      </c>
      <c r="F253" s="26" t="s">
        <v>2182</v>
      </c>
      <c r="G253" s="28" t="s">
        <v>2188</v>
      </c>
      <c r="H253" s="25" t="str">
        <f t="shared" si="9"/>
        <v>#{msg['msg.ERR_LANC_DTPROJETO_INDEF']}</v>
      </c>
      <c r="I253" s="25" t="str">
        <f t="shared" si="10"/>
        <v>msg.ERR_LANC_DTPROJETO_INDEF</v>
      </c>
    </row>
    <row r="254" spans="1:9" x14ac:dyDescent="0.25">
      <c r="A254" s="25">
        <f t="shared" si="12"/>
        <v>248</v>
      </c>
      <c r="B254" s="32">
        <v>2</v>
      </c>
      <c r="C254" s="27" t="str">
        <f>VLOOKUP(B254,TB_FNX_TIPO_MENSAGEM!$A$7:$B$28,2,FALSE)</f>
        <v>Erro</v>
      </c>
      <c r="D254" s="25" t="s">
        <v>2181</v>
      </c>
      <c r="E254" s="25" t="s">
        <v>2184</v>
      </c>
      <c r="F254" s="26" t="s">
        <v>2182</v>
      </c>
      <c r="G254" s="28" t="s">
        <v>2189</v>
      </c>
      <c r="H254" s="25" t="str">
        <f t="shared" si="9"/>
        <v>#{msg['msg.ERR_LANC_DTCONVENIO_INDEF']}</v>
      </c>
      <c r="I254" s="25" t="str">
        <f t="shared" si="10"/>
        <v>msg.ERR_LANC_DTCONVENIO_INDEF</v>
      </c>
    </row>
    <row r="255" spans="1:9" x14ac:dyDescent="0.25">
      <c r="A255" s="25">
        <f t="shared" si="12"/>
        <v>249</v>
      </c>
      <c r="B255" s="32">
        <v>2</v>
      </c>
      <c r="C255" s="27" t="str">
        <f>VLOOKUP(B255,TB_FNX_TIPO_MENSAGEM!$A$7:$B$28,2,FALSE)</f>
        <v>Erro</v>
      </c>
      <c r="D255" s="25" t="s">
        <v>2181</v>
      </c>
      <c r="E255" s="25" t="s">
        <v>2187</v>
      </c>
      <c r="F255" s="26" t="s">
        <v>2180</v>
      </c>
      <c r="G255" s="18" t="s">
        <v>2186</v>
      </c>
      <c r="H255" s="25" t="str">
        <f t="shared" si="9"/>
        <v>#{msg['msg.ERR_LANC_DTPGTO_DTCONVENIO']}</v>
      </c>
      <c r="I255" s="25" t="str">
        <f t="shared" si="10"/>
        <v>msg.ERR_LANC_DTPGTO_DTCONVENIO</v>
      </c>
    </row>
    <row r="256" spans="1:9" x14ac:dyDescent="0.25">
      <c r="A256" s="25">
        <f t="shared" si="12"/>
        <v>250</v>
      </c>
      <c r="B256" s="32">
        <v>2</v>
      </c>
      <c r="C256" s="27" t="str">
        <f>VLOOKUP(B256,TB_FNX_TIPO_MENSAGEM!$A$7:$B$28,2,FALSE)</f>
        <v>Erro</v>
      </c>
      <c r="D256" s="25" t="s">
        <v>907</v>
      </c>
      <c r="E256" s="2" t="s">
        <v>2236</v>
      </c>
      <c r="F256" s="26" t="s">
        <v>2163</v>
      </c>
      <c r="G256" s="18" t="s">
        <v>1352</v>
      </c>
      <c r="H256" s="25" t="str">
        <f t="shared" si="9"/>
        <v>#{msg['msg.ERR_SLD_DOC_NAO_SELECIONADO']}</v>
      </c>
      <c r="I256" s="25" t="str">
        <f t="shared" si="10"/>
        <v>msg.ERR_SLD_DOC_NAO_SELECIONADO</v>
      </c>
    </row>
    <row r="257" spans="1:9" x14ac:dyDescent="0.25">
      <c r="A257" s="25">
        <f t="shared" si="12"/>
        <v>251</v>
      </c>
      <c r="B257" s="25">
        <v>1</v>
      </c>
      <c r="C257" s="27" t="str">
        <f>VLOOKUP(B257,TB_FNX_TIPO_MENSAGEM!$A$7:$B$28,2,FALSE)</f>
        <v>Informação</v>
      </c>
      <c r="D257" s="25" t="s">
        <v>907</v>
      </c>
      <c r="E257" s="2" t="s">
        <v>2237</v>
      </c>
      <c r="F257" s="4" t="s">
        <v>2207</v>
      </c>
      <c r="H257" s="25" t="str">
        <f t="shared" si="9"/>
        <v>#{msg['msg.INFO_SLD_DOCUMENTO_EXCLUIDO']}</v>
      </c>
      <c r="I257" s="25" t="str">
        <f t="shared" si="10"/>
        <v>msg.INFO_SLD_DOCUMENTO_EXCLUIDO</v>
      </c>
    </row>
    <row r="258" spans="1:9" x14ac:dyDescent="0.25">
      <c r="A258" s="25">
        <f t="shared" si="12"/>
        <v>252</v>
      </c>
      <c r="B258" s="32">
        <v>2</v>
      </c>
      <c r="C258" s="27" t="str">
        <f>VLOOKUP(B258,TB_FNX_TIPO_MENSAGEM!$A$7:$B$28,2,FALSE)</f>
        <v>Erro</v>
      </c>
      <c r="D258" s="25" t="s">
        <v>907</v>
      </c>
      <c r="E258" s="2" t="s">
        <v>2235</v>
      </c>
      <c r="F258" s="4" t="s">
        <v>2233</v>
      </c>
      <c r="G258" s="18" t="s">
        <v>2234</v>
      </c>
      <c r="H258" s="25" t="str">
        <f t="shared" si="9"/>
        <v>#{msg['msg.ERR_ENVPROJ_SEM_SALDO']}</v>
      </c>
      <c r="I258" s="25" t="str">
        <f t="shared" si="10"/>
        <v>msg.ERR_ENVPROJ_SEM_SALDO</v>
      </c>
    </row>
    <row r="259" spans="1:9" x14ac:dyDescent="0.25">
      <c r="A259" s="25">
        <f t="shared" si="12"/>
        <v>253</v>
      </c>
      <c r="B259" s="32">
        <v>2</v>
      </c>
      <c r="C259" s="27" t="str">
        <f>VLOOKUP(B259,TB_FNX_TIPO_MENSAGEM!$A$7:$B$28,2,FALSE)</f>
        <v>Erro</v>
      </c>
      <c r="D259" s="25" t="s">
        <v>907</v>
      </c>
      <c r="E259" s="2" t="s">
        <v>2241</v>
      </c>
      <c r="F259" s="4" t="s">
        <v>1637</v>
      </c>
      <c r="G259" s="18" t="s">
        <v>2242</v>
      </c>
      <c r="H259" s="25" t="str">
        <f t="shared" si="9"/>
        <v>#{msg['msg.ERR_SLD_SALDO_SEM_DOC']}</v>
      </c>
      <c r="I259" s="25" t="str">
        <f t="shared" si="10"/>
        <v>msg.ERR_SLD_SALDO_SEM_DOC</v>
      </c>
    </row>
    <row r="260" spans="1:9" x14ac:dyDescent="0.25">
      <c r="A260" s="25">
        <f t="shared" si="12"/>
        <v>254</v>
      </c>
      <c r="B260" s="2">
        <v>2</v>
      </c>
      <c r="C260" s="27" t="str">
        <f>VLOOKUP(B260,TB_FNX_TIPO_MENSAGEM!$A$7:$B$28,2,FALSE)</f>
        <v>Erro</v>
      </c>
      <c r="D260" s="2" t="s">
        <v>2259</v>
      </c>
      <c r="E260" s="2" t="s">
        <v>2260</v>
      </c>
      <c r="F260" s="4" t="s">
        <v>2261</v>
      </c>
      <c r="G260" s="18" t="s">
        <v>2342</v>
      </c>
      <c r="H260" s="25" t="str">
        <f t="shared" si="9"/>
        <v>#{msg['msg.ERR_ENVPROJ_VL_META_MENOR_CEM']}</v>
      </c>
      <c r="I260" s="25" t="str">
        <f t="shared" si="10"/>
        <v>msg.ERR_ENVPROJ_VL_META_MENOR_CEM</v>
      </c>
    </row>
    <row r="261" spans="1:9" x14ac:dyDescent="0.25">
      <c r="A261" s="25">
        <f t="shared" si="12"/>
        <v>255</v>
      </c>
      <c r="B261" s="2">
        <v>2</v>
      </c>
      <c r="C261" s="27" t="str">
        <f>VLOOKUP(B261,TB_FNX_TIPO_MENSAGEM!$A$7:$B$28,2,FALSE)</f>
        <v>Erro</v>
      </c>
      <c r="E261" s="43" t="s">
        <v>2310</v>
      </c>
      <c r="F261" s="43" t="s">
        <v>2299</v>
      </c>
      <c r="G261" s="43" t="s">
        <v>2300</v>
      </c>
      <c r="H261" s="25" t="str">
        <f t="shared" si="9"/>
        <v>#{msg['msg.ERR_PC_BPM_INDEFINIDO']}</v>
      </c>
      <c r="I261" s="25" t="str">
        <f t="shared" si="10"/>
        <v>msg.ERR_PC_BPM_INDEFINIDO</v>
      </c>
    </row>
    <row r="262" spans="1:9" ht="30" x14ac:dyDescent="0.25">
      <c r="A262" s="2">
        <v>256</v>
      </c>
      <c r="B262" s="2">
        <v>2</v>
      </c>
      <c r="C262" s="27" t="str">
        <f>VLOOKUP(B262,TB_FNX_TIPO_MENSAGEM!$A$7:$B$28,2,FALSE)</f>
        <v>Erro</v>
      </c>
      <c r="D262" s="2" t="s">
        <v>2259</v>
      </c>
      <c r="E262" s="2" t="s">
        <v>2312</v>
      </c>
      <c r="F262" s="4" t="s">
        <v>2316</v>
      </c>
      <c r="G262" s="18" t="s">
        <v>2315</v>
      </c>
      <c r="H262" s="25" t="str">
        <f t="shared" si="9"/>
        <v>#{msg['msg.ERR_PRJ_SEM_DADOS_COMPL']}</v>
      </c>
      <c r="I262" s="25" t="str">
        <f t="shared" si="10"/>
        <v>msg.ERR_PRJ_SEM_DADOS_COMPL</v>
      </c>
    </row>
    <row r="263" spans="1:9" x14ac:dyDescent="0.2">
      <c r="A263" s="25">
        <f t="shared" ref="A263:A276" si="13">A262+1</f>
        <v>257</v>
      </c>
      <c r="B263" s="25">
        <v>2</v>
      </c>
      <c r="C263" s="27" t="str">
        <f>VLOOKUP(B263,TB_FNX_TIPO_MENSAGEM!$A$7:$B$28,2,FALSE)</f>
        <v>Erro</v>
      </c>
      <c r="D263" s="25"/>
      <c r="E263" s="30" t="s">
        <v>2317</v>
      </c>
      <c r="F263" s="30" t="s">
        <v>1637</v>
      </c>
      <c r="G263" s="30" t="s">
        <v>2318</v>
      </c>
      <c r="H263" s="25" t="str">
        <f t="shared" si="9"/>
        <v>#{msg['msg.ERR_GLOSA_ZERO']}</v>
      </c>
      <c r="I263" s="25" t="str">
        <f t="shared" si="10"/>
        <v>msg.ERR_GLOSA_ZERO</v>
      </c>
    </row>
    <row r="264" spans="1:9" x14ac:dyDescent="0.2">
      <c r="A264" s="25">
        <f t="shared" si="13"/>
        <v>258</v>
      </c>
      <c r="B264" s="25">
        <v>2</v>
      </c>
      <c r="C264" s="27" t="str">
        <f>VLOOKUP(B264,TB_FNX_TIPO_MENSAGEM!$A$7:$B$28,2,FALSE)</f>
        <v>Erro</v>
      </c>
      <c r="D264" s="25"/>
      <c r="E264" s="30" t="s">
        <v>2319</v>
      </c>
      <c r="F264" s="30" t="s">
        <v>1139</v>
      </c>
      <c r="G264" s="30" t="s">
        <v>2320</v>
      </c>
      <c r="H264" s="25" t="str">
        <f t="shared" ref="H264:H276" si="14">CONCATENATE("#{msg['msg.",$E264,"']}")</f>
        <v>#{msg['msg.ERR_GLOSA_VLAPEX_MENOR']}</v>
      </c>
      <c r="I264" s="25" t="str">
        <f t="shared" ref="I264:I276" si="15">CONCATENATE("msg.",$E264)</f>
        <v>msg.ERR_GLOSA_VLAPEX_MENOR</v>
      </c>
    </row>
    <row r="265" spans="1:9" x14ac:dyDescent="0.2">
      <c r="A265" s="25">
        <f t="shared" si="13"/>
        <v>259</v>
      </c>
      <c r="B265" s="25">
        <v>2</v>
      </c>
      <c r="C265" s="27" t="str">
        <f>VLOOKUP(B265,TB_FNX_TIPO_MENSAGEM!$A$7:$B$28,2,FALSE)</f>
        <v>Erro</v>
      </c>
      <c r="D265" s="25"/>
      <c r="E265" s="30" t="s">
        <v>2321</v>
      </c>
      <c r="F265" s="30" t="s">
        <v>1139</v>
      </c>
      <c r="G265" s="30" t="s">
        <v>2322</v>
      </c>
      <c r="H265" s="25" t="str">
        <f t="shared" si="14"/>
        <v>#{msg['msg.ERR_GLOSA_VL_CFINAN_MENOR']}</v>
      </c>
      <c r="I265" s="25" t="str">
        <f t="shared" si="15"/>
        <v>msg.ERR_GLOSA_VL_CFINAN_MENOR</v>
      </c>
    </row>
    <row r="266" spans="1:9" x14ac:dyDescent="0.2">
      <c r="A266" s="25">
        <f t="shared" si="13"/>
        <v>260</v>
      </c>
      <c r="B266" s="25">
        <v>2</v>
      </c>
      <c r="C266" s="27" t="str">
        <f>VLOOKUP(B266,TB_FNX_TIPO_MENSAGEM!$A$7:$B$28,2,FALSE)</f>
        <v>Erro</v>
      </c>
      <c r="D266" s="25"/>
      <c r="E266" s="30" t="s">
        <v>2323</v>
      </c>
      <c r="F266" s="30" t="s">
        <v>1139</v>
      </c>
      <c r="G266" s="30" t="s">
        <v>2324</v>
      </c>
      <c r="H266" s="25" t="str">
        <f t="shared" si="14"/>
        <v>#{msg['msg.ERR_GLOSA_VL_CECON_MENOR']}</v>
      </c>
      <c r="I266" s="25" t="str">
        <f t="shared" si="15"/>
        <v>msg.ERR_GLOSA_VL_CECON_MENOR</v>
      </c>
    </row>
    <row r="267" spans="1:9" ht="30" x14ac:dyDescent="0.25">
      <c r="A267" s="25">
        <f t="shared" si="13"/>
        <v>261</v>
      </c>
      <c r="B267" s="2">
        <v>1</v>
      </c>
      <c r="C267" s="27" t="str">
        <f>VLOOKUP(B267,TB_FNX_TIPO_MENSAGEM!$A$7:$B$28,2,FALSE)</f>
        <v>Informação</v>
      </c>
      <c r="D267" s="2" t="s">
        <v>2364</v>
      </c>
      <c r="E267" s="2" t="s">
        <v>2365</v>
      </c>
      <c r="F267" s="4" t="s">
        <v>2366</v>
      </c>
      <c r="G267" s="18" t="s">
        <v>2367</v>
      </c>
      <c r="H267" s="25" t="str">
        <f t="shared" si="14"/>
        <v>#{msg['msg.INFO_MC_ITEM_POSSUI_DETALHE']}</v>
      </c>
      <c r="I267" s="25" t="str">
        <f t="shared" si="15"/>
        <v>msg.INFO_MC_ITEM_POSSUI_DETALHE</v>
      </c>
    </row>
    <row r="268" spans="1:9" x14ac:dyDescent="0.25">
      <c r="A268" s="25">
        <f t="shared" si="13"/>
        <v>262</v>
      </c>
      <c r="B268" s="25">
        <v>5</v>
      </c>
      <c r="C268" s="27" t="str">
        <f>VLOOKUP(B268,TB_FNX_TIPO_MENSAGEM!$A$7:$B$28,2,FALSE)</f>
        <v>Confirmação</v>
      </c>
      <c r="D268" s="25" t="s">
        <v>2364</v>
      </c>
      <c r="E268" s="25" t="s">
        <v>2450</v>
      </c>
      <c r="F268" s="26" t="s">
        <v>2129</v>
      </c>
      <c r="G268" s="28"/>
      <c r="H268" s="25" t="str">
        <f t="shared" si="14"/>
        <v>#{msg['msg.CONF_MC_IMPORT_SUCCESS']}</v>
      </c>
      <c r="I268" s="25" t="str">
        <f t="shared" si="15"/>
        <v>msg.CONF_MC_IMPORT_SUCCESS</v>
      </c>
    </row>
    <row r="269" spans="1:9" x14ac:dyDescent="0.25">
      <c r="A269" s="25">
        <f t="shared" si="13"/>
        <v>263</v>
      </c>
      <c r="B269" s="25">
        <v>2</v>
      </c>
      <c r="C269" s="27" t="str">
        <f>VLOOKUP(B269,TB_FNX_TIPO_MENSAGEM!$A$7:$B$28,2,FALSE)</f>
        <v>Erro</v>
      </c>
      <c r="D269" s="25" t="s">
        <v>2364</v>
      </c>
      <c r="E269" s="25" t="s">
        <v>2455</v>
      </c>
      <c r="F269" s="26" t="s">
        <v>2456</v>
      </c>
      <c r="G269" s="28"/>
      <c r="H269" s="25" t="str">
        <f t="shared" si="14"/>
        <v>#{msg['msg.ERR_MC_SELECIONE_PROJETO']}</v>
      </c>
      <c r="I269" s="25" t="str">
        <f t="shared" si="15"/>
        <v>msg.ERR_MC_SELECIONE_PROJETO</v>
      </c>
    </row>
    <row r="270" spans="1:9" ht="30" x14ac:dyDescent="0.25">
      <c r="A270" s="25">
        <f t="shared" si="13"/>
        <v>264</v>
      </c>
      <c r="B270" s="25">
        <v>2</v>
      </c>
      <c r="C270" s="27" t="str">
        <f>VLOOKUP(B270,TB_FNX_TIPO_MENSAGEM!$A$7:$B$28,2,FALSE)</f>
        <v>Erro</v>
      </c>
      <c r="D270" s="25" t="s">
        <v>2364</v>
      </c>
      <c r="E270" s="25" t="s">
        <v>2457</v>
      </c>
      <c r="F270" s="26" t="s">
        <v>2459</v>
      </c>
      <c r="G270" s="28" t="s">
        <v>2458</v>
      </c>
      <c r="H270" s="25" t="str">
        <f t="shared" si="14"/>
        <v>#{msg['msg.ERR_MC_IMP_VALOR_RLZ']}</v>
      </c>
      <c r="I270" s="25" t="str">
        <f t="shared" si="15"/>
        <v>msg.ERR_MC_IMP_VALOR_RLZ</v>
      </c>
    </row>
    <row r="271" spans="1:9" ht="30" x14ac:dyDescent="0.25">
      <c r="A271" s="25">
        <f t="shared" si="13"/>
        <v>265</v>
      </c>
      <c r="B271" s="25">
        <v>2</v>
      </c>
      <c r="C271" s="27" t="str">
        <f>VLOOKUP(B271,TB_FNX_TIPO_MENSAGEM!$A$7:$B$28,2,FALSE)</f>
        <v>Erro</v>
      </c>
      <c r="D271" s="25" t="s">
        <v>2364</v>
      </c>
      <c r="E271" s="25" t="s">
        <v>2460</v>
      </c>
      <c r="F271" s="26" t="s">
        <v>2461</v>
      </c>
      <c r="G271" s="28"/>
      <c r="H271" s="25" t="str">
        <f t="shared" si="14"/>
        <v>#{msg['msg.ERR_MC_SELECIONE_ITEM']}</v>
      </c>
      <c r="I271" s="25" t="str">
        <f t="shared" si="15"/>
        <v>msg.ERR_MC_SELECIONE_ITEM</v>
      </c>
    </row>
    <row r="272" spans="1:9" ht="30" x14ac:dyDescent="0.25">
      <c r="A272" s="25">
        <f t="shared" si="13"/>
        <v>266</v>
      </c>
      <c r="B272" s="25">
        <v>2</v>
      </c>
      <c r="C272" s="27" t="str">
        <f>VLOOKUP(B272,TB_FNX_TIPO_MENSAGEM!$A$7:$B$28,2,FALSE)</f>
        <v>Erro</v>
      </c>
      <c r="D272" s="25" t="s">
        <v>2364</v>
      </c>
      <c r="E272" s="25" t="s">
        <v>2462</v>
      </c>
      <c r="F272" s="26" t="s">
        <v>2463</v>
      </c>
      <c r="G272" s="28"/>
      <c r="H272" s="25" t="str">
        <f t="shared" si="14"/>
        <v>#{msg['msg.ERR_MC_FALHA_CAR_PRJ_ORIGEM']}</v>
      </c>
      <c r="I272" s="25" t="str">
        <f t="shared" si="15"/>
        <v>msg.ERR_MC_FALHA_CAR_PRJ_ORIGEM</v>
      </c>
    </row>
    <row r="273" spans="1:9" ht="30" x14ac:dyDescent="0.25">
      <c r="A273" s="25">
        <f t="shared" si="13"/>
        <v>267</v>
      </c>
      <c r="B273" s="25">
        <v>2</v>
      </c>
      <c r="C273" s="27" t="str">
        <f>VLOOKUP(B273,TB_FNX_TIPO_MENSAGEM!$A$7:$B$28,2,FALSE)</f>
        <v>Erro</v>
      </c>
      <c r="D273" s="25" t="s">
        <v>2364</v>
      </c>
      <c r="E273" s="25" t="s">
        <v>2464</v>
      </c>
      <c r="F273" s="26" t="s">
        <v>2465</v>
      </c>
      <c r="G273" s="28"/>
      <c r="H273" s="25" t="str">
        <f t="shared" si="14"/>
        <v>#{msg['msg.ERR_MC_FALHA_CAR_PRJ_DESTINO']}</v>
      </c>
      <c r="I273" s="25" t="str">
        <f t="shared" si="15"/>
        <v>msg.ERR_MC_FALHA_CAR_PRJ_DESTINO</v>
      </c>
    </row>
    <row r="274" spans="1:9" ht="30" x14ac:dyDescent="0.25">
      <c r="A274" s="25">
        <f t="shared" si="13"/>
        <v>268</v>
      </c>
      <c r="B274" s="25">
        <v>2</v>
      </c>
      <c r="C274" s="27" t="str">
        <f>VLOOKUP(B274,TB_FNX_TIPO_MENSAGEM!$A$7:$B$28,2,FALSE)</f>
        <v>Erro</v>
      </c>
      <c r="D274" s="25" t="s">
        <v>2364</v>
      </c>
      <c r="E274" s="2" t="s">
        <v>2468</v>
      </c>
      <c r="F274" s="4" t="s">
        <v>2469</v>
      </c>
      <c r="H274" s="2" t="str">
        <f t="shared" si="14"/>
        <v>#{msg['msg.ERR_MC_FALHA_EXPORTAR_EXCEL']}</v>
      </c>
      <c r="I274" s="2" t="str">
        <f t="shared" si="15"/>
        <v>msg.ERR_MC_FALHA_EXPORTAR_EXCEL</v>
      </c>
    </row>
    <row r="275" spans="1:9" x14ac:dyDescent="0.25">
      <c r="A275" s="25">
        <f t="shared" si="13"/>
        <v>269</v>
      </c>
      <c r="B275" s="2">
        <v>2</v>
      </c>
      <c r="C275" s="27" t="str">
        <f>VLOOKUP(B275,TB_FNX_TIPO_MENSAGEM!$A$7:$B$28,2,FALSE)</f>
        <v>Erro</v>
      </c>
      <c r="D275" s="2" t="s">
        <v>2259</v>
      </c>
      <c r="E275" s="2" t="s">
        <v>2482</v>
      </c>
      <c r="F275" s="32" t="s">
        <v>2483</v>
      </c>
      <c r="G275" s="44" t="s">
        <v>2484</v>
      </c>
      <c r="H275" s="2" t="str">
        <f t="shared" si="14"/>
        <v>#{msg['msg.ERR_ENVPROJ_SEM_VERTICAL']}</v>
      </c>
      <c r="I275" s="2" t="str">
        <f t="shared" si="15"/>
        <v>msg.ERR_ENVPROJ_SEM_VERTICAL</v>
      </c>
    </row>
    <row r="276" spans="1:9" x14ac:dyDescent="0.25">
      <c r="A276" s="25">
        <f t="shared" si="13"/>
        <v>270</v>
      </c>
      <c r="B276" s="25">
        <v>2</v>
      </c>
      <c r="C276" s="27" t="str">
        <f>VLOOKUP(B276,TB_FNX_TIPO_MENSAGEM!$A$7:$B$28,2,FALSE)</f>
        <v>Erro</v>
      </c>
      <c r="D276" s="25" t="s">
        <v>2259</v>
      </c>
      <c r="E276" s="2" t="s">
        <v>2487</v>
      </c>
      <c r="F276" s="32" t="s">
        <v>2489</v>
      </c>
      <c r="G276" s="44" t="s">
        <v>2488</v>
      </c>
      <c r="H276" s="2" t="str">
        <f t="shared" si="14"/>
        <v>#{msg['msg.ERR_SH6_NAO_CADASTRADO']}</v>
      </c>
      <c r="I276" s="2" t="str">
        <f t="shared" si="15"/>
        <v>msg.ERR_SH6_NAO_CADASTRADO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I605"/>
  <sheetViews>
    <sheetView zoomScale="80" zoomScaleNormal="80" zoomScalePageLayoutView="90" workbookViewId="0">
      <pane ySplit="6" topLeftCell="A593" activePane="bottomLeft" state="frozen"/>
      <selection pane="bottomLeft" activeCell="E604" sqref="E604"/>
    </sheetView>
  </sheetViews>
  <sheetFormatPr defaultColWidth="8.85546875" defaultRowHeight="15" x14ac:dyDescent="0.25"/>
  <cols>
    <col min="1" max="1" width="18.42578125" style="2" customWidth="1"/>
    <col min="2" max="2" width="25.140625" style="2" customWidth="1"/>
    <col min="3" max="3" width="27" style="2" bestFit="1" customWidth="1"/>
    <col min="4" max="4" width="25.140625" style="2" bestFit="1" customWidth="1"/>
    <col min="5" max="5" width="39.7109375" style="2" bestFit="1" customWidth="1"/>
    <col min="6" max="6" width="34.42578125" style="2" customWidth="1"/>
    <col min="7" max="7" width="47" style="4" customWidth="1"/>
    <col min="8" max="8" width="53.42578125" style="2" bestFit="1" customWidth="1"/>
    <col min="9" max="9" width="52.5703125" style="2" bestFit="1" customWidth="1"/>
    <col min="10" max="16384" width="8.85546875" style="2"/>
  </cols>
  <sheetData>
    <row r="1" spans="1:9" x14ac:dyDescent="0.25">
      <c r="A1" s="11" t="s">
        <v>1</v>
      </c>
      <c r="B1" s="2" t="s">
        <v>312</v>
      </c>
    </row>
    <row r="2" spans="1:9" x14ac:dyDescent="0.25">
      <c r="A2" s="11" t="s">
        <v>310</v>
      </c>
      <c r="B2" s="2" t="s">
        <v>322</v>
      </c>
      <c r="E2" s="25"/>
    </row>
    <row r="3" spans="1:9" x14ac:dyDescent="0.25">
      <c r="A3" s="11" t="s">
        <v>320</v>
      </c>
      <c r="B3" s="10">
        <f>MAX(A7:A1972)+1</f>
        <v>600</v>
      </c>
    </row>
    <row r="4" spans="1:9" x14ac:dyDescent="0.25">
      <c r="A4" s="11" t="s">
        <v>311</v>
      </c>
      <c r="C4" s="11" t="s">
        <v>483</v>
      </c>
    </row>
    <row r="6" spans="1:9" ht="19.5" customHeight="1" x14ac:dyDescent="0.25">
      <c r="A6" s="1" t="s">
        <v>131</v>
      </c>
      <c r="B6" s="1" t="s">
        <v>182</v>
      </c>
      <c r="C6" s="1" t="s">
        <v>132</v>
      </c>
      <c r="D6" s="1" t="s">
        <v>274</v>
      </c>
      <c r="E6" s="1" t="s">
        <v>22</v>
      </c>
      <c r="F6" s="1" t="s">
        <v>133</v>
      </c>
      <c r="G6" s="16" t="s">
        <v>134</v>
      </c>
      <c r="H6" s="16" t="s">
        <v>2361</v>
      </c>
      <c r="I6" s="16" t="s">
        <v>2362</v>
      </c>
    </row>
    <row r="7" spans="1:9" x14ac:dyDescent="0.25">
      <c r="A7" s="2">
        <v>1</v>
      </c>
      <c r="C7" s="2">
        <v>9</v>
      </c>
      <c r="D7" s="2" t="str">
        <f>VLOOKUP(C7,TB_FNX_TIPO_RESOURCE_BUNDLE!$A$7:$B$28,2,FALSE)</f>
        <v>Propriedade</v>
      </c>
      <c r="E7" s="2" t="s">
        <v>266</v>
      </c>
      <c r="F7" s="2" t="s">
        <v>268</v>
      </c>
      <c r="G7" s="17" t="s">
        <v>268</v>
      </c>
      <c r="H7" s="2" t="str">
        <f>CONCATENATE("#{msg['",$E7,".label']}")</f>
        <v>#{msg['ACESSO_NEGADO.label']}</v>
      </c>
      <c r="I7" s="25" t="str">
        <f>CONCATENATE("#{msg['",$E7,".hint']}")</f>
        <v>#{msg['ACESSO_NEGADO.hint']}</v>
      </c>
    </row>
    <row r="8" spans="1:9" x14ac:dyDescent="0.25">
      <c r="A8" s="2">
        <f t="shared" ref="A8:A71" si="0">A7+1</f>
        <v>2</v>
      </c>
      <c r="C8" s="2">
        <v>4</v>
      </c>
      <c r="D8" s="2" t="str">
        <f>VLOOKUP(C8,TB_FNX_TIPO_RESOURCE_BUNDLE!$A$7:$B$28,2,FALSE)</f>
        <v>Rótulo de entrada de texto</v>
      </c>
      <c r="E8" s="2" t="s">
        <v>1612</v>
      </c>
      <c r="F8" s="2" t="s">
        <v>329</v>
      </c>
      <c r="G8" s="4" t="s">
        <v>1498</v>
      </c>
      <c r="H8" s="25" t="str">
        <f t="shared" ref="H8:H71" si="1">CONCATENATE("#{msg['",$E8,".label']}")</f>
        <v>#{msg['CMD_AC_CANCELAR.label']}</v>
      </c>
      <c r="I8" s="25" t="str">
        <f t="shared" ref="I8:I71" si="2">CONCATENATE("#{msg['",$E8,".hint']}")</f>
        <v>#{msg['CMD_AC_CANCELAR.hint']}</v>
      </c>
    </row>
    <row r="9" spans="1:9" x14ac:dyDescent="0.25">
      <c r="A9" s="2">
        <f t="shared" si="0"/>
        <v>3</v>
      </c>
      <c r="C9" s="2">
        <v>1</v>
      </c>
      <c r="D9" s="2" t="str">
        <f>VLOOKUP(C9,TB_FNX_TIPO_RESOURCE_BUNDLE!$A$7:$B$28,2,FALSE)</f>
        <v>Botão</v>
      </c>
      <c r="E9" s="2" t="s">
        <v>1614</v>
      </c>
      <c r="F9" s="2" t="s">
        <v>329</v>
      </c>
      <c r="G9" s="4" t="s">
        <v>1615</v>
      </c>
      <c r="H9" s="25" t="str">
        <f t="shared" si="1"/>
        <v>#{msg['CMD_AC_CANCELAR_EVENTO.label']}</v>
      </c>
      <c r="I9" s="25" t="str">
        <f t="shared" si="2"/>
        <v>#{msg['CMD_AC_CANCELAR_EVENTO.hint']}</v>
      </c>
    </row>
    <row r="10" spans="1:9" x14ac:dyDescent="0.25">
      <c r="A10" s="2">
        <f t="shared" si="0"/>
        <v>4</v>
      </c>
      <c r="C10" s="2">
        <v>4</v>
      </c>
      <c r="D10" s="2" t="str">
        <f>VLOOKUP(C10,TB_FNX_TIPO_RESOURCE_BUNDLE!$A$7:$B$28,2,FALSE)</f>
        <v>Rótulo de entrada de texto</v>
      </c>
      <c r="E10" s="2" t="s">
        <v>1539</v>
      </c>
      <c r="F10" s="2" t="s">
        <v>1495</v>
      </c>
      <c r="G10" s="4" t="s">
        <v>1500</v>
      </c>
      <c r="H10" s="25" t="str">
        <f t="shared" si="1"/>
        <v>#{msg['CMD_AC_CONCLUIR.label']}</v>
      </c>
      <c r="I10" s="25" t="str">
        <f t="shared" si="2"/>
        <v>#{msg['CMD_AC_CONCLUIR.hint']}</v>
      </c>
    </row>
    <row r="11" spans="1:9" x14ac:dyDescent="0.25">
      <c r="A11" s="2">
        <f t="shared" si="0"/>
        <v>5</v>
      </c>
      <c r="C11" s="2">
        <v>4</v>
      </c>
      <c r="D11" s="2" t="str">
        <f>VLOOKUP(C11,TB_FNX_TIPO_RESOURCE_BUNDLE!$A$7:$B$28,2,FALSE)</f>
        <v>Rótulo de entrada de texto</v>
      </c>
      <c r="E11" s="2" t="s">
        <v>1536</v>
      </c>
      <c r="F11" s="2" t="s">
        <v>337</v>
      </c>
      <c r="G11" s="4" t="s">
        <v>1497</v>
      </c>
      <c r="H11" s="25" t="str">
        <f t="shared" si="1"/>
        <v>#{msg['CMD_AC_EDITAR.label']}</v>
      </c>
      <c r="I11" s="25" t="str">
        <f t="shared" si="2"/>
        <v>#{msg['CMD_AC_EDITAR.hint']}</v>
      </c>
    </row>
    <row r="12" spans="1:9" x14ac:dyDescent="0.25">
      <c r="A12" s="2">
        <f t="shared" si="0"/>
        <v>6</v>
      </c>
      <c r="C12" s="2">
        <v>1</v>
      </c>
      <c r="D12" s="2" t="str">
        <f>VLOOKUP(C12,TB_FNX_TIPO_RESOURCE_BUNDLE!$A$7:$B$28,2,FALSE)</f>
        <v>Botão</v>
      </c>
      <c r="E12" s="2" t="s">
        <v>1625</v>
      </c>
      <c r="F12" s="2" t="s">
        <v>337</v>
      </c>
      <c r="G12" s="4" t="s">
        <v>1626</v>
      </c>
      <c r="H12" s="25" t="str">
        <f t="shared" si="1"/>
        <v>#{msg['CMD_AC_EVENTO_EDITAR.label']}</v>
      </c>
      <c r="I12" s="25" t="str">
        <f t="shared" si="2"/>
        <v>#{msg['CMD_AC_EVENTO_EDITAR.hint']}</v>
      </c>
    </row>
    <row r="13" spans="1:9" x14ac:dyDescent="0.25">
      <c r="A13" s="2">
        <f t="shared" si="0"/>
        <v>7</v>
      </c>
      <c r="C13" s="2">
        <v>1</v>
      </c>
      <c r="D13" s="2" t="str">
        <f>VLOOKUP(C13,TB_FNX_TIPO_RESOURCE_BUNDLE!$A$7:$B$28,2,FALSE)</f>
        <v>Botão</v>
      </c>
      <c r="E13" s="2" t="s">
        <v>1623</v>
      </c>
      <c r="F13" s="2" t="s">
        <v>1355</v>
      </c>
      <c r="G13" s="4" t="s">
        <v>1624</v>
      </c>
      <c r="H13" s="25" t="str">
        <f t="shared" si="1"/>
        <v>#{msg['CMD_AC_EVENTO_VISUALIZAR.label']}</v>
      </c>
      <c r="I13" s="25" t="str">
        <f t="shared" si="2"/>
        <v>#{msg['CMD_AC_EVENTO_VISUALIZAR.hint']}</v>
      </c>
    </row>
    <row r="14" spans="1:9" x14ac:dyDescent="0.25">
      <c r="A14" s="2">
        <f t="shared" si="0"/>
        <v>8</v>
      </c>
      <c r="C14" s="2">
        <v>4</v>
      </c>
      <c r="D14" s="2" t="str">
        <f>VLOOKUP(C14,TB_FNX_TIPO_RESOURCE_BUNDLE!$A$7:$B$28,2,FALSE)</f>
        <v>Rótulo de entrada de texto</v>
      </c>
      <c r="E14" s="2" t="s">
        <v>1538</v>
      </c>
      <c r="F14" s="2" t="s">
        <v>143</v>
      </c>
      <c r="G14" s="4" t="s">
        <v>1499</v>
      </c>
      <c r="H14" s="25" t="str">
        <f t="shared" si="1"/>
        <v>#{msg['CMD_AC_EXCLUIR.label']}</v>
      </c>
      <c r="I14" s="25" t="str">
        <f t="shared" si="2"/>
        <v>#{msg['CMD_AC_EXCLUIR.hint']}</v>
      </c>
    </row>
    <row r="15" spans="1:9" x14ac:dyDescent="0.25">
      <c r="A15" s="2">
        <f t="shared" si="0"/>
        <v>9</v>
      </c>
      <c r="C15" s="2">
        <v>1</v>
      </c>
      <c r="D15" s="2" t="str">
        <f>VLOOKUP(C15,TB_FNX_TIPO_RESOURCE_BUNDLE!$A$7:$B$28,2,FALSE)</f>
        <v>Botão</v>
      </c>
      <c r="E15" s="2" t="s">
        <v>1613</v>
      </c>
      <c r="F15" s="2" t="s">
        <v>143</v>
      </c>
      <c r="G15" s="4" t="s">
        <v>1616</v>
      </c>
      <c r="H15" s="25" t="str">
        <f t="shared" si="1"/>
        <v>#{msg['CMD_AC_EXCLUIR_EVENTO.label']}</v>
      </c>
      <c r="I15" s="25" t="str">
        <f t="shared" si="2"/>
        <v>#{msg['CMD_AC_EXCLUIR_EVENTO.hint']}</v>
      </c>
    </row>
    <row r="16" spans="1:9" x14ac:dyDescent="0.25">
      <c r="A16" s="2">
        <f t="shared" si="0"/>
        <v>10</v>
      </c>
      <c r="C16" s="2">
        <v>4</v>
      </c>
      <c r="D16" s="2" t="str">
        <f>VLOOKUP(C16,TB_FNX_TIPO_RESOURCE_BUNDLE!$A$7:$B$28,2,FALSE)</f>
        <v>Rótulo de entrada de texto</v>
      </c>
      <c r="E16" s="2" t="s">
        <v>1537</v>
      </c>
      <c r="F16" s="2" t="s">
        <v>194</v>
      </c>
      <c r="G16" s="4" t="s">
        <v>1496</v>
      </c>
      <c r="H16" s="25" t="str">
        <f t="shared" si="1"/>
        <v>#{msg['CMD_AC_INCLUIR.label']}</v>
      </c>
      <c r="I16" s="25" t="str">
        <f t="shared" si="2"/>
        <v>#{msg['CMD_AC_INCLUIR.hint']}</v>
      </c>
    </row>
    <row r="17" spans="1:9" x14ac:dyDescent="0.25">
      <c r="A17" s="2">
        <f t="shared" si="0"/>
        <v>11</v>
      </c>
      <c r="C17" s="2">
        <v>4</v>
      </c>
      <c r="D17" s="2" t="str">
        <f>VLOOKUP(C17,TB_FNX_TIPO_RESOURCE_BUNDLE!$A$7:$B$28,2,FALSE)</f>
        <v>Rótulo de entrada de texto</v>
      </c>
      <c r="E17" s="2" t="s">
        <v>1535</v>
      </c>
      <c r="F17" s="2" t="s">
        <v>289</v>
      </c>
      <c r="G17" s="4" t="s">
        <v>1494</v>
      </c>
      <c r="H17" s="25" t="str">
        <f t="shared" si="1"/>
        <v>#{msg['CMD_AC_PESQUISAR.label']}</v>
      </c>
      <c r="I17" s="25" t="str">
        <f t="shared" si="2"/>
        <v>#{msg['CMD_AC_PESQUISAR.hint']}</v>
      </c>
    </row>
    <row r="18" spans="1:9" x14ac:dyDescent="0.25">
      <c r="A18" s="2">
        <f t="shared" si="0"/>
        <v>12</v>
      </c>
      <c r="C18" s="2">
        <v>4</v>
      </c>
      <c r="D18" s="2" t="str">
        <f>VLOOKUP(C18,TB_FNX_TIPO_RESOURCE_BUNDLE!$A$7:$B$28,2,FALSE)</f>
        <v>Rótulo de entrada de texto</v>
      </c>
      <c r="E18" s="2" t="s">
        <v>1621</v>
      </c>
      <c r="F18" s="2" t="s">
        <v>1355</v>
      </c>
      <c r="G18" s="4" t="s">
        <v>1622</v>
      </c>
      <c r="H18" s="25" t="str">
        <f t="shared" si="1"/>
        <v>#{msg['CMD_AC_VISUALIZAR.label']}</v>
      </c>
      <c r="I18" s="25" t="str">
        <f t="shared" si="2"/>
        <v>#{msg['CMD_AC_VISUALIZAR.hint']}</v>
      </c>
    </row>
    <row r="19" spans="1:9" x14ac:dyDescent="0.25">
      <c r="A19" s="2">
        <f t="shared" si="0"/>
        <v>13</v>
      </c>
      <c r="C19" s="2">
        <v>1</v>
      </c>
      <c r="D19" s="2" t="str">
        <f>VLOOKUP(C19,TB_FNX_TIPO_RESOURCE_BUNDLE!$A$7:$B$28,2,FALSE)</f>
        <v>Botão</v>
      </c>
      <c r="E19" s="2" t="s">
        <v>326</v>
      </c>
      <c r="F19" s="2" t="s">
        <v>194</v>
      </c>
      <c r="G19" s="4" t="s">
        <v>332</v>
      </c>
      <c r="H19" s="25" t="str">
        <f t="shared" si="1"/>
        <v>#{msg['CMD_ASSOCIAR_PERFIL.label']}</v>
      </c>
      <c r="I19" s="25" t="str">
        <f t="shared" si="2"/>
        <v>#{msg['CMD_ASSOCIAR_PERFIL.hint']}</v>
      </c>
    </row>
    <row r="20" spans="1:9" x14ac:dyDescent="0.25">
      <c r="A20" s="2">
        <f t="shared" si="0"/>
        <v>14</v>
      </c>
      <c r="C20" s="2">
        <v>1</v>
      </c>
      <c r="D20" s="2" t="str">
        <f>VLOOKUP(C20,TB_FNX_TIPO_RESOURCE_BUNDLE!$A$7:$B$28,2,FALSE)</f>
        <v>Botão</v>
      </c>
      <c r="E20" s="2" t="s">
        <v>327</v>
      </c>
      <c r="F20" s="2" t="s">
        <v>329</v>
      </c>
      <c r="G20" s="4" t="s">
        <v>722</v>
      </c>
      <c r="H20" s="25" t="str">
        <f t="shared" si="1"/>
        <v>#{msg['CMD_CANCELAR.label']}</v>
      </c>
      <c r="I20" s="25" t="str">
        <f t="shared" si="2"/>
        <v>#{msg['CMD_CANCELAR.hint']}</v>
      </c>
    </row>
    <row r="21" spans="1:9" x14ac:dyDescent="0.25">
      <c r="A21" s="2">
        <f t="shared" si="0"/>
        <v>15</v>
      </c>
      <c r="C21" s="2">
        <v>1</v>
      </c>
      <c r="D21" s="2" t="str">
        <f>VLOOKUP(C21,TB_FNX_TIPO_RESOURCE_BUNDLE!$A$7:$B$28,2,FALSE)</f>
        <v>Botão</v>
      </c>
      <c r="E21" s="2" t="s">
        <v>458</v>
      </c>
      <c r="F21" s="2" t="s">
        <v>459</v>
      </c>
      <c r="G21" s="4" t="s">
        <v>785</v>
      </c>
      <c r="H21" s="25" t="str">
        <f t="shared" si="1"/>
        <v>#{msg['CMD_CONSULTAR.label']}</v>
      </c>
      <c r="I21" s="25" t="str">
        <f t="shared" si="2"/>
        <v>#{msg['CMD_CONSULTAR.hint']}</v>
      </c>
    </row>
    <row r="22" spans="1:9" x14ac:dyDescent="0.25">
      <c r="A22" s="2">
        <f t="shared" si="0"/>
        <v>16</v>
      </c>
      <c r="C22" s="2">
        <v>1</v>
      </c>
      <c r="D22" s="2" t="str">
        <f>VLOOKUP(C22,TB_FNX_TIPO_RESOURCE_BUNDLE!$A$7:$B$28,2,FALSE)</f>
        <v>Botão</v>
      </c>
      <c r="E22" s="2" t="s">
        <v>160</v>
      </c>
      <c r="F22" s="2" t="s">
        <v>193</v>
      </c>
      <c r="G22" s="4" t="s">
        <v>723</v>
      </c>
      <c r="H22" s="25" t="str">
        <f t="shared" si="1"/>
        <v>#{msg['CMD_CONSULTAR_ENTIDADE.label']}</v>
      </c>
      <c r="I22" s="25" t="str">
        <f t="shared" si="2"/>
        <v>#{msg['CMD_CONSULTAR_ENTIDADE.hint']}</v>
      </c>
    </row>
    <row r="23" spans="1:9" x14ac:dyDescent="0.25">
      <c r="A23" s="2">
        <f t="shared" si="0"/>
        <v>17</v>
      </c>
      <c r="C23" s="2">
        <v>1</v>
      </c>
      <c r="D23" s="2" t="str">
        <f>VLOOKUP(C23,TB_FNX_TIPO_RESOURCE_BUNDLE!$A$7:$B$28,2,FALSE)</f>
        <v>Botão</v>
      </c>
      <c r="E23" s="2" t="s">
        <v>161</v>
      </c>
      <c r="F23" s="2" t="s">
        <v>193</v>
      </c>
      <c r="G23" s="4" t="s">
        <v>724</v>
      </c>
      <c r="H23" s="25" t="str">
        <f t="shared" si="1"/>
        <v>#{msg['CMD_CONSULTAR_PROJETO.label']}</v>
      </c>
      <c r="I23" s="25" t="str">
        <f t="shared" si="2"/>
        <v>#{msg['CMD_CONSULTAR_PROJETO.hint']}</v>
      </c>
    </row>
    <row r="24" spans="1:9" x14ac:dyDescent="0.25">
      <c r="A24" s="2">
        <f t="shared" si="0"/>
        <v>18</v>
      </c>
      <c r="C24" s="2">
        <v>1</v>
      </c>
      <c r="D24" s="2" t="str">
        <f>VLOOKUP(C24,TB_FNX_TIPO_RESOURCE_BUNDLE!$A$7:$B$28,2,FALSE)</f>
        <v>Botão</v>
      </c>
      <c r="E24" s="2" t="s">
        <v>220</v>
      </c>
      <c r="F24" s="2" t="s">
        <v>193</v>
      </c>
      <c r="G24" s="4" t="s">
        <v>725</v>
      </c>
      <c r="H24" s="25" t="str">
        <f t="shared" si="1"/>
        <v>#{msg['CMD_CONSULTAR_UNIDADE.label']}</v>
      </c>
      <c r="I24" s="25" t="str">
        <f t="shared" si="2"/>
        <v>#{msg['CMD_CONSULTAR_UNIDADE.hint']}</v>
      </c>
    </row>
    <row r="25" spans="1:9" x14ac:dyDescent="0.25">
      <c r="A25" s="2">
        <f t="shared" si="0"/>
        <v>19</v>
      </c>
      <c r="C25" s="2">
        <v>1</v>
      </c>
      <c r="D25" s="2" t="str">
        <f>VLOOKUP(C25,TB_FNX_TIPO_RESOURCE_BUNDLE!$A$7:$B$28,2,FALSE)</f>
        <v>Botão</v>
      </c>
      <c r="E25" s="2" t="s">
        <v>148</v>
      </c>
      <c r="F25" s="2" t="s">
        <v>193</v>
      </c>
      <c r="G25" s="4" t="s">
        <v>154</v>
      </c>
      <c r="H25" s="25" t="str">
        <f t="shared" si="1"/>
        <v>#{msg['CMD_CONSULTAR_USUARIO.label']}</v>
      </c>
      <c r="I25" s="25" t="str">
        <f t="shared" si="2"/>
        <v>#{msg['CMD_CONSULTAR_USUARIO.hint']}</v>
      </c>
    </row>
    <row r="26" spans="1:9" x14ac:dyDescent="0.25">
      <c r="A26" s="2">
        <f t="shared" si="0"/>
        <v>20</v>
      </c>
      <c r="C26" s="2">
        <v>1</v>
      </c>
      <c r="D26" s="2" t="str">
        <f>VLOOKUP(C26,TB_FNX_TIPO_RESOURCE_BUNDLE!$A$7:$B$28,2,FALSE)</f>
        <v>Botão</v>
      </c>
      <c r="E26" s="2" t="s">
        <v>173</v>
      </c>
      <c r="F26" s="2" t="s">
        <v>177</v>
      </c>
      <c r="G26" s="4" t="s">
        <v>726</v>
      </c>
      <c r="H26" s="25" t="str">
        <f t="shared" si="1"/>
        <v>#{msg['CMD_DESMARCAR.label']}</v>
      </c>
      <c r="I26" s="25" t="str">
        <f t="shared" si="2"/>
        <v>#{msg['CMD_DESMARCAR.hint']}</v>
      </c>
    </row>
    <row r="27" spans="1:9" x14ac:dyDescent="0.25">
      <c r="A27" s="2">
        <f t="shared" si="0"/>
        <v>21</v>
      </c>
      <c r="C27" s="2">
        <v>1</v>
      </c>
      <c r="D27" s="2" t="str">
        <f>VLOOKUP(C27,TB_FNX_TIPO_RESOURCE_BUNDLE!$A$7:$B$28,2,FALSE)</f>
        <v>Botão</v>
      </c>
      <c r="E27" s="2" t="s">
        <v>174</v>
      </c>
      <c r="F27" s="2" t="s">
        <v>178</v>
      </c>
      <c r="G27" s="4" t="s">
        <v>727</v>
      </c>
      <c r="H27" s="25" t="str">
        <f t="shared" si="1"/>
        <v>#{msg['CMD_DESMARCAR_TODOS.label']}</v>
      </c>
      <c r="I27" s="25" t="str">
        <f t="shared" si="2"/>
        <v>#{msg['CMD_DESMARCAR_TODOS.hint']}</v>
      </c>
    </row>
    <row r="28" spans="1:9" x14ac:dyDescent="0.25">
      <c r="A28" s="2">
        <f t="shared" si="0"/>
        <v>22</v>
      </c>
      <c r="C28" s="2">
        <v>1</v>
      </c>
      <c r="D28" s="2" t="str">
        <f>VLOOKUP(C28,TB_FNX_TIPO_RESOURCE_BUNDLE!$A$7:$B$28,2,FALSE)</f>
        <v>Botão</v>
      </c>
      <c r="E28" s="2" t="s">
        <v>471</v>
      </c>
      <c r="F28" s="2" t="s">
        <v>337</v>
      </c>
      <c r="G28" s="4" t="s">
        <v>791</v>
      </c>
      <c r="H28" s="25" t="str">
        <f t="shared" si="1"/>
        <v>#{msg['CMD_EDITAR.label']}</v>
      </c>
      <c r="I28" s="25" t="str">
        <f t="shared" si="2"/>
        <v>#{msg['CMD_EDITAR.hint']}</v>
      </c>
    </row>
    <row r="29" spans="1:9" x14ac:dyDescent="0.25">
      <c r="A29" s="2">
        <f t="shared" si="0"/>
        <v>23</v>
      </c>
      <c r="C29" s="2">
        <v>1</v>
      </c>
      <c r="D29" s="2" t="str">
        <f>VLOOKUP(C29,TB_FNX_TIPO_RESOURCE_BUNDLE!$A$7:$B$28,2,FALSE)</f>
        <v>Botão</v>
      </c>
      <c r="E29" s="2" t="s">
        <v>336</v>
      </c>
      <c r="F29" s="2" t="s">
        <v>337</v>
      </c>
      <c r="G29" s="4" t="s">
        <v>338</v>
      </c>
      <c r="H29" s="25" t="str">
        <f t="shared" si="1"/>
        <v>#{msg['CMD_EDITAR_USUARIO_EQUIPE.label']}</v>
      </c>
      <c r="I29" s="25" t="str">
        <f t="shared" si="2"/>
        <v>#{msg['CMD_EDITAR_USUARIO_EQUIPE.hint']}</v>
      </c>
    </row>
    <row r="30" spans="1:9" x14ac:dyDescent="0.25">
      <c r="A30" s="2">
        <f t="shared" si="0"/>
        <v>24</v>
      </c>
      <c r="C30" s="2">
        <v>1</v>
      </c>
      <c r="D30" s="2" t="str">
        <f>VLOOKUP(C30,TB_FNX_TIPO_RESOURCE_BUNDLE!$A$7:$B$28,2,FALSE)</f>
        <v>Botão</v>
      </c>
      <c r="E30" s="2" t="s">
        <v>472</v>
      </c>
      <c r="F30" s="2" t="s">
        <v>143</v>
      </c>
      <c r="G30" s="4" t="s">
        <v>792</v>
      </c>
      <c r="H30" s="25" t="str">
        <f t="shared" si="1"/>
        <v>#{msg['CMD_EXCLUIR.label']}</v>
      </c>
      <c r="I30" s="25" t="str">
        <f t="shared" si="2"/>
        <v>#{msg['CMD_EXCLUIR.hint']}</v>
      </c>
    </row>
    <row r="31" spans="1:9" x14ac:dyDescent="0.25">
      <c r="A31" s="2">
        <f t="shared" si="0"/>
        <v>25</v>
      </c>
      <c r="C31" s="2">
        <v>1</v>
      </c>
      <c r="D31" s="2" t="str">
        <f>VLOOKUP(C31,TB_FNX_TIPO_RESOURCE_BUNDLE!$A$7:$B$28,2,FALSE)</f>
        <v>Botão</v>
      </c>
      <c r="E31" s="2" t="s">
        <v>328</v>
      </c>
      <c r="F31" s="2" t="s">
        <v>143</v>
      </c>
      <c r="G31" s="4" t="s">
        <v>333</v>
      </c>
      <c r="H31" s="25" t="str">
        <f t="shared" si="1"/>
        <v>#{msg['CMD_EXCLUIR_PERFIL.label']}</v>
      </c>
      <c r="I31" s="25" t="str">
        <f t="shared" si="2"/>
        <v>#{msg['CMD_EXCLUIR_PERFIL.hint']}</v>
      </c>
    </row>
    <row r="32" spans="1:9" x14ac:dyDescent="0.25">
      <c r="A32" s="2">
        <f t="shared" si="0"/>
        <v>26</v>
      </c>
      <c r="C32" s="2">
        <v>1</v>
      </c>
      <c r="D32" s="2" t="str">
        <f>VLOOKUP(C32,TB_FNX_TIPO_RESOURCE_BUNDLE!$A$7:$B$28,2,FALSE)</f>
        <v>Botão</v>
      </c>
      <c r="E32" s="2" t="s">
        <v>190</v>
      </c>
      <c r="F32" s="2" t="s">
        <v>143</v>
      </c>
      <c r="G32" s="4" t="s">
        <v>728</v>
      </c>
      <c r="H32" s="25" t="str">
        <f t="shared" si="1"/>
        <v>#{msg['CMD_EXCLUIR_RECURSO.label']}</v>
      </c>
      <c r="I32" s="25" t="str">
        <f t="shared" si="2"/>
        <v>#{msg['CMD_EXCLUIR_RECURSO.hint']}</v>
      </c>
    </row>
    <row r="33" spans="1:9" x14ac:dyDescent="0.25">
      <c r="A33" s="2">
        <f t="shared" si="0"/>
        <v>27</v>
      </c>
      <c r="C33" s="2">
        <v>1</v>
      </c>
      <c r="D33" s="2" t="str">
        <f>VLOOKUP(C33,TB_FNX_TIPO_RESOURCE_BUNDLE!$A$7:$B$28,2,FALSE)</f>
        <v>Botão</v>
      </c>
      <c r="E33" s="2" t="s">
        <v>145</v>
      </c>
      <c r="F33" s="2" t="s">
        <v>143</v>
      </c>
      <c r="G33" s="4" t="s">
        <v>152</v>
      </c>
      <c r="H33" s="25" t="str">
        <f t="shared" si="1"/>
        <v>#{msg['CMD_EXCLUIR_USUARIO.label']}</v>
      </c>
      <c r="I33" s="25" t="str">
        <f t="shared" si="2"/>
        <v>#{msg['CMD_EXCLUIR_USUARIO.hint']}</v>
      </c>
    </row>
    <row r="34" spans="1:9" ht="30" x14ac:dyDescent="0.25">
      <c r="A34" s="2">
        <f t="shared" si="0"/>
        <v>28</v>
      </c>
      <c r="C34" s="2">
        <v>1</v>
      </c>
      <c r="D34" s="2" t="str">
        <f>VLOOKUP(C34,TB_FNX_TIPO_RESOURCE_BUNDLE!$A$7:$B$28,2,FALSE)</f>
        <v>Botão</v>
      </c>
      <c r="E34" s="2" t="s">
        <v>141</v>
      </c>
      <c r="F34" s="2" t="s">
        <v>714</v>
      </c>
      <c r="G34" s="4" t="s">
        <v>627</v>
      </c>
      <c r="H34" s="25" t="str">
        <f t="shared" si="1"/>
        <v>#{msg['CMD_EXPORTAR_EXCEL.label']}</v>
      </c>
      <c r="I34" s="25" t="str">
        <f t="shared" si="2"/>
        <v>#{msg['CMD_EXPORTAR_EXCEL.hint']}</v>
      </c>
    </row>
    <row r="35" spans="1:9" x14ac:dyDescent="0.25">
      <c r="A35" s="2">
        <f t="shared" si="0"/>
        <v>29</v>
      </c>
      <c r="C35" s="2">
        <v>1</v>
      </c>
      <c r="D35" s="2" t="str">
        <f>VLOOKUP(C35,TB_FNX_TIPO_RESOURCE_BUNDLE!$A$7:$B$28,2,FALSE)</f>
        <v>Botão</v>
      </c>
      <c r="E35" s="2" t="s">
        <v>140</v>
      </c>
      <c r="F35" s="2" t="s">
        <v>715</v>
      </c>
      <c r="G35" s="4" t="s">
        <v>628</v>
      </c>
      <c r="H35" s="25" t="str">
        <f t="shared" si="1"/>
        <v>#{msg['CMD_EXPORTAR_PDF.label']}</v>
      </c>
      <c r="I35" s="25" t="str">
        <f t="shared" si="2"/>
        <v>#{msg['CMD_EXPORTAR_PDF.hint']}</v>
      </c>
    </row>
    <row r="36" spans="1:9" x14ac:dyDescent="0.25">
      <c r="A36" s="2">
        <f t="shared" si="0"/>
        <v>30</v>
      </c>
      <c r="B36" s="25"/>
      <c r="C36" s="25">
        <v>1</v>
      </c>
      <c r="D36" s="2" t="str">
        <f>VLOOKUP(C36,TB_FNX_TIPO_RESOURCE_BUNDLE!$A$7:$B$28,2,FALSE)</f>
        <v>Botão</v>
      </c>
      <c r="E36" s="2" t="s">
        <v>164</v>
      </c>
      <c r="F36" s="2" t="s">
        <v>165</v>
      </c>
      <c r="G36" s="4" t="s">
        <v>729</v>
      </c>
      <c r="H36" s="25" t="str">
        <f t="shared" si="1"/>
        <v>#{msg['CMD_FECHAR.label']}</v>
      </c>
      <c r="I36" s="25" t="str">
        <f t="shared" si="2"/>
        <v>#{msg['CMD_FECHAR.hint']}</v>
      </c>
    </row>
    <row r="37" spans="1:9" x14ac:dyDescent="0.25">
      <c r="A37" s="2">
        <f t="shared" si="0"/>
        <v>31</v>
      </c>
      <c r="B37" s="2" t="s">
        <v>187</v>
      </c>
      <c r="C37" s="2">
        <v>1</v>
      </c>
      <c r="D37" s="2" t="str">
        <f>VLOOKUP(C37,TB_FNX_TIPO_RESOURCE_BUNDLE!$A$7:$B$28,2,FALSE)</f>
        <v>Botão</v>
      </c>
      <c r="E37" s="2" t="s">
        <v>186</v>
      </c>
      <c r="F37" s="2" t="s">
        <v>185</v>
      </c>
      <c r="G37" s="26" t="s">
        <v>730</v>
      </c>
      <c r="H37" s="25" t="str">
        <f t="shared" si="1"/>
        <v>#{msg['CMD_FILTRAR_RECURSO.label']}</v>
      </c>
      <c r="I37" s="25" t="str">
        <f t="shared" si="2"/>
        <v>#{msg['CMD_FILTRAR_RECURSO.hint']}</v>
      </c>
    </row>
    <row r="38" spans="1:9" x14ac:dyDescent="0.25">
      <c r="A38" s="2">
        <f t="shared" si="0"/>
        <v>32</v>
      </c>
      <c r="C38" s="2">
        <v>1</v>
      </c>
      <c r="D38" s="2" t="str">
        <f>VLOOKUP(C38,TB_FNX_TIPO_RESOURCE_BUNDLE!$A$7:$B$28,2,FALSE)</f>
        <v>Botão</v>
      </c>
      <c r="E38" s="2" t="s">
        <v>163</v>
      </c>
      <c r="F38" s="2" t="s">
        <v>162</v>
      </c>
      <c r="G38" s="4" t="s">
        <v>731</v>
      </c>
      <c r="H38" s="25" t="str">
        <f t="shared" si="1"/>
        <v>#{msg['CMD_GRAVAR.label']}</v>
      </c>
      <c r="I38" s="25" t="str">
        <f t="shared" si="2"/>
        <v>#{msg['CMD_GRAVAR.hint']}</v>
      </c>
    </row>
    <row r="39" spans="1:9" x14ac:dyDescent="0.25">
      <c r="A39" s="2">
        <f t="shared" si="0"/>
        <v>33</v>
      </c>
      <c r="C39" s="2">
        <v>1</v>
      </c>
      <c r="D39" s="2" t="str">
        <f>VLOOKUP(C39,TB_FNX_TIPO_RESOURCE_BUNDLE!$A$7:$B$28,2,FALSE)</f>
        <v>Botão</v>
      </c>
      <c r="E39" s="2" t="s">
        <v>334</v>
      </c>
      <c r="F39" s="2" t="s">
        <v>335</v>
      </c>
      <c r="G39" s="4" t="s">
        <v>731</v>
      </c>
      <c r="H39" s="25" t="str">
        <f t="shared" si="1"/>
        <v>#{msg['CMD_GRAVAR_RESPONSAVEIS.label']}</v>
      </c>
      <c r="I39" s="25" t="str">
        <f t="shared" si="2"/>
        <v>#{msg['CMD_GRAVAR_RESPONSAVEIS.hint']}</v>
      </c>
    </row>
    <row r="40" spans="1:9" x14ac:dyDescent="0.25">
      <c r="A40" s="2">
        <f t="shared" si="0"/>
        <v>34</v>
      </c>
      <c r="C40" s="2">
        <v>1</v>
      </c>
      <c r="D40" s="2" t="str">
        <f>VLOOKUP(C40,TB_FNX_TIPO_RESOURCE_BUNDLE!$A$7:$B$28,2,FALSE)</f>
        <v>Botão</v>
      </c>
      <c r="E40" s="2" t="s">
        <v>625</v>
      </c>
      <c r="F40" s="2" t="s">
        <v>626</v>
      </c>
      <c r="G40" s="26" t="s">
        <v>825</v>
      </c>
      <c r="H40" s="25" t="str">
        <f t="shared" si="1"/>
        <v>#{msg['CMD_GST_FIN_ALTERA_DSMBLS.label']}</v>
      </c>
      <c r="I40" s="25" t="str">
        <f t="shared" si="2"/>
        <v>#{msg['CMD_GST_FIN_ALTERA_DSMBLS.hint']}</v>
      </c>
    </row>
    <row r="41" spans="1:9" x14ac:dyDescent="0.25">
      <c r="A41" s="2">
        <f t="shared" si="0"/>
        <v>35</v>
      </c>
      <c r="C41" s="2">
        <v>1</v>
      </c>
      <c r="D41" s="2" t="str">
        <f>VLOOKUP(C41,TB_FNX_TIPO_RESOURCE_BUNDLE!$A$7:$B$28,2,FALSE)</f>
        <v>Botão</v>
      </c>
      <c r="E41" s="2" t="s">
        <v>568</v>
      </c>
      <c r="F41" s="2" t="s">
        <v>576</v>
      </c>
      <c r="G41" s="4" t="s">
        <v>800</v>
      </c>
      <c r="H41" s="25" t="str">
        <f t="shared" si="1"/>
        <v>#{msg['CMD_GST_FIN_ALTERA_PRCL.label']}</v>
      </c>
      <c r="I41" s="25" t="str">
        <f t="shared" si="2"/>
        <v>#{msg['CMD_GST_FIN_ALTERA_PRCL.hint']}</v>
      </c>
    </row>
    <row r="42" spans="1:9" x14ac:dyDescent="0.25">
      <c r="A42" s="2">
        <f t="shared" si="0"/>
        <v>36</v>
      </c>
      <c r="C42" s="2">
        <v>1</v>
      </c>
      <c r="D42" s="2" t="str">
        <f>VLOOKUP(C42,TB_FNX_TIPO_RESOURCE_BUNDLE!$A$7:$B$28,2,FALSE)</f>
        <v>Botão</v>
      </c>
      <c r="E42" s="2" t="s">
        <v>1258</v>
      </c>
      <c r="F42" s="2" t="s">
        <v>1259</v>
      </c>
      <c r="G42" s="25" t="s">
        <v>1259</v>
      </c>
      <c r="H42" s="25" t="str">
        <f t="shared" si="1"/>
        <v>#{msg['CMD_GST_FIN_AUTOR_DESEMB.label']}</v>
      </c>
      <c r="I42" s="25" t="str">
        <f t="shared" si="2"/>
        <v>#{msg['CMD_GST_FIN_AUTOR_DESEMB.hint']}</v>
      </c>
    </row>
    <row r="43" spans="1:9" x14ac:dyDescent="0.25">
      <c r="A43" s="2">
        <f t="shared" si="0"/>
        <v>37</v>
      </c>
      <c r="C43" s="2">
        <v>1</v>
      </c>
      <c r="D43" s="2" t="str">
        <f>VLOOKUP(C43,TB_FNX_TIPO_RESOURCE_BUNDLE!$A$7:$B$28,2,FALSE)</f>
        <v>Botão</v>
      </c>
      <c r="E43" s="2" t="s">
        <v>565</v>
      </c>
      <c r="F43" s="2" t="s">
        <v>573</v>
      </c>
      <c r="G43" s="4" t="s">
        <v>797</v>
      </c>
      <c r="H43" s="25" t="str">
        <f t="shared" si="1"/>
        <v>#{msg['CMD_GST_FIN_COTA_MOEDAS.label']}</v>
      </c>
      <c r="I43" s="25" t="str">
        <f t="shared" si="2"/>
        <v>#{msg['CMD_GST_FIN_COTA_MOEDAS.hint']}</v>
      </c>
    </row>
    <row r="44" spans="1:9" x14ac:dyDescent="0.25">
      <c r="A44" s="2">
        <f t="shared" si="0"/>
        <v>38</v>
      </c>
      <c r="C44" s="2">
        <v>1</v>
      </c>
      <c r="D44" s="2" t="str">
        <f>VLOOKUP(C44,TB_FNX_TIPO_RESOURCE_BUNDLE!$A$7:$B$28,2,FALSE)</f>
        <v>Botão</v>
      </c>
      <c r="E44" s="2" t="s">
        <v>572</v>
      </c>
      <c r="F44" s="2" t="s">
        <v>143</v>
      </c>
      <c r="G44" s="4" t="s">
        <v>804</v>
      </c>
      <c r="H44" s="25" t="str">
        <f t="shared" si="1"/>
        <v>#{msg['CMD_GST_FIN_EXCL_DSMBLS.label']}</v>
      </c>
      <c r="I44" s="25" t="str">
        <f t="shared" si="2"/>
        <v>#{msg['CMD_GST_FIN_EXCL_DSMBLS.hint']}</v>
      </c>
    </row>
    <row r="45" spans="1:9" x14ac:dyDescent="0.25">
      <c r="A45" s="2">
        <f t="shared" si="0"/>
        <v>39</v>
      </c>
      <c r="C45" s="2">
        <v>1</v>
      </c>
      <c r="D45" s="2" t="str">
        <f>VLOOKUP(C45,TB_FNX_TIPO_RESOURCE_BUNDLE!$A$7:$B$28,2,FALSE)</f>
        <v>Botão</v>
      </c>
      <c r="E45" s="2" t="s">
        <v>570</v>
      </c>
      <c r="F45" s="2" t="s">
        <v>901</v>
      </c>
      <c r="G45" s="4" t="s">
        <v>802</v>
      </c>
      <c r="H45" s="25" t="str">
        <f t="shared" si="1"/>
        <v>#{msg['CMD_GST_FIN_EXCLUIR_PRCL.label']}</v>
      </c>
      <c r="I45" s="25" t="str">
        <f t="shared" si="2"/>
        <v>#{msg['CMD_GST_FIN_EXCLUIR_PRCL.hint']}</v>
      </c>
    </row>
    <row r="46" spans="1:9" x14ac:dyDescent="0.25">
      <c r="A46" s="2">
        <f t="shared" si="0"/>
        <v>40</v>
      </c>
      <c r="B46" s="2" t="s">
        <v>669</v>
      </c>
      <c r="C46" s="2">
        <v>1</v>
      </c>
      <c r="D46" s="2" t="str">
        <f>VLOOKUP(C46,TB_FNX_TIPO_RESOURCE_BUNDLE!$A$7:$B$28,2,FALSE)</f>
        <v>Botão</v>
      </c>
      <c r="E46" s="2" t="s">
        <v>564</v>
      </c>
      <c r="F46" s="2" t="s">
        <v>142</v>
      </c>
      <c r="G46" s="4" t="s">
        <v>796</v>
      </c>
      <c r="H46" s="25" t="str">
        <f t="shared" si="1"/>
        <v>#{msg['CMD_GST_FIN_EXP_EXCEL.label']}</v>
      </c>
      <c r="I46" s="25" t="str">
        <f t="shared" si="2"/>
        <v>#{msg['CMD_GST_FIN_EXP_EXCEL.hint']}</v>
      </c>
    </row>
    <row r="47" spans="1:9" x14ac:dyDescent="0.25">
      <c r="A47" s="2">
        <f t="shared" si="0"/>
        <v>41</v>
      </c>
      <c r="C47" s="2">
        <v>1</v>
      </c>
      <c r="D47" s="2" t="str">
        <f>VLOOKUP(C47,TB_FNX_TIPO_RESOURCE_BUNDLE!$A$7:$B$28,2,FALSE)</f>
        <v>Botão</v>
      </c>
      <c r="E47" s="2" t="s">
        <v>571</v>
      </c>
      <c r="F47" s="2" t="s">
        <v>194</v>
      </c>
      <c r="G47" s="4" t="s">
        <v>803</v>
      </c>
      <c r="H47" s="25" t="str">
        <f t="shared" si="1"/>
        <v>#{msg['CMD_GST_FIN_INCLUIR.label']}</v>
      </c>
      <c r="I47" s="25" t="str">
        <f t="shared" si="2"/>
        <v>#{msg['CMD_GST_FIN_INCLUIR.hint']}</v>
      </c>
    </row>
    <row r="48" spans="1:9" x14ac:dyDescent="0.25">
      <c r="A48" s="2">
        <f t="shared" si="0"/>
        <v>42</v>
      </c>
      <c r="C48" s="2">
        <v>1</v>
      </c>
      <c r="D48" s="2" t="str">
        <f>VLOOKUP(C48,TB_FNX_TIPO_RESOURCE_BUNDLE!$A$7:$B$28,2,FALSE)</f>
        <v>Botão</v>
      </c>
      <c r="E48" s="2" t="s">
        <v>569</v>
      </c>
      <c r="F48" s="2" t="s">
        <v>574</v>
      </c>
      <c r="G48" s="26" t="s">
        <v>801</v>
      </c>
      <c r="H48" s="25" t="str">
        <f t="shared" si="1"/>
        <v>#{msg['CMD_GST_FIN_NOVA_PRCL.label']}</v>
      </c>
      <c r="I48" s="25" t="str">
        <f t="shared" si="2"/>
        <v>#{msg['CMD_GST_FIN_NOVA_PRCL.hint']}</v>
      </c>
    </row>
    <row r="49" spans="1:9" x14ac:dyDescent="0.25">
      <c r="A49" s="2">
        <f t="shared" si="0"/>
        <v>43</v>
      </c>
      <c r="C49" s="2">
        <v>1</v>
      </c>
      <c r="D49" s="2" t="str">
        <f>VLOOKUP(C49,TB_FNX_TIPO_RESOURCE_BUNDLE!$A$7:$B$28,2,FALSE)</f>
        <v>Botão</v>
      </c>
      <c r="E49" s="2" t="s">
        <v>567</v>
      </c>
      <c r="F49" s="2" t="s">
        <v>562</v>
      </c>
      <c r="G49" s="4" t="s">
        <v>799</v>
      </c>
      <c r="H49" s="25" t="str">
        <f t="shared" si="1"/>
        <v>#{msg['CMD_GST_FIN_ORIGINAL.label']}</v>
      </c>
      <c r="I49" s="25" t="str">
        <f t="shared" si="2"/>
        <v>#{msg['CMD_GST_FIN_ORIGINAL.hint']}</v>
      </c>
    </row>
    <row r="50" spans="1:9" x14ac:dyDescent="0.25">
      <c r="A50" s="2">
        <f t="shared" si="0"/>
        <v>44</v>
      </c>
      <c r="C50" s="2">
        <v>1</v>
      </c>
      <c r="D50" s="2" t="str">
        <f>VLOOKUP(C50,TB_FNX_TIPO_RESOURCE_BUNDLE!$A$7:$B$28,2,FALSE)</f>
        <v>Botão</v>
      </c>
      <c r="E50" s="2" t="s">
        <v>566</v>
      </c>
      <c r="F50" s="2" t="s">
        <v>563</v>
      </c>
      <c r="G50" s="4" t="s">
        <v>798</v>
      </c>
      <c r="H50" s="25" t="str">
        <f t="shared" si="1"/>
        <v>#{msg['CMD_GST_FIN_PRJ_SIMULA.label']}</v>
      </c>
      <c r="I50" s="25" t="str">
        <f t="shared" si="2"/>
        <v>#{msg['CMD_GST_FIN_PRJ_SIMULA.hint']}</v>
      </c>
    </row>
    <row r="51" spans="1:9" ht="30" x14ac:dyDescent="0.25">
      <c r="A51" s="2">
        <f t="shared" si="0"/>
        <v>45</v>
      </c>
      <c r="C51" s="2">
        <v>1</v>
      </c>
      <c r="D51" s="2" t="str">
        <f>VLOOKUP(C51,TB_FNX_TIPO_RESOURCE_BUNDLE!$A$7:$B$28,2,FALSE)</f>
        <v>Botão</v>
      </c>
      <c r="E51" s="2" t="s">
        <v>197</v>
      </c>
      <c r="F51" s="2" t="s">
        <v>196</v>
      </c>
      <c r="G51" s="4" t="s">
        <v>732</v>
      </c>
      <c r="H51" s="25" t="str">
        <f t="shared" si="1"/>
        <v>#{msg['CMD_IMPORTAR_EQUIPE.label']}</v>
      </c>
      <c r="I51" s="25" t="str">
        <f t="shared" si="2"/>
        <v>#{msg['CMD_IMPORTAR_EQUIPE.hint']}</v>
      </c>
    </row>
    <row r="52" spans="1:9" x14ac:dyDescent="0.25">
      <c r="A52" s="2">
        <f t="shared" si="0"/>
        <v>46</v>
      </c>
      <c r="C52" s="2">
        <v>1</v>
      </c>
      <c r="D52" s="2" t="str">
        <f>VLOOKUP(C52,TB_FNX_TIPO_RESOURCE_BUNDLE!$A$7:$B$28,2,FALSE)</f>
        <v>Botão</v>
      </c>
      <c r="E52" s="2" t="s">
        <v>470</v>
      </c>
      <c r="F52" s="2" t="s">
        <v>194</v>
      </c>
      <c r="G52" s="26" t="s">
        <v>790</v>
      </c>
      <c r="H52" s="25" t="str">
        <f t="shared" si="1"/>
        <v>#{msg['CMD_INCLUIR.label']}</v>
      </c>
      <c r="I52" s="25" t="str">
        <f t="shared" si="2"/>
        <v>#{msg['CMD_INCLUIR.hint']}</v>
      </c>
    </row>
    <row r="53" spans="1:9" x14ac:dyDescent="0.25">
      <c r="A53" s="2">
        <f t="shared" si="0"/>
        <v>47</v>
      </c>
      <c r="C53" s="2">
        <v>1</v>
      </c>
      <c r="D53" s="2" t="str">
        <f>VLOOKUP(C53,TB_FNX_TIPO_RESOURCE_BUNDLE!$A$7:$B$28,2,FALSE)</f>
        <v>Botão</v>
      </c>
      <c r="E53" s="2" t="s">
        <v>324</v>
      </c>
      <c r="F53" s="2" t="s">
        <v>194</v>
      </c>
      <c r="G53" s="26" t="s">
        <v>330</v>
      </c>
      <c r="H53" s="25" t="str">
        <f t="shared" si="1"/>
        <v>#{msg['CMD_INCLUIR_USUARIO.label']}</v>
      </c>
      <c r="I53" s="25" t="str">
        <f t="shared" si="2"/>
        <v>#{msg['CMD_INCLUIR_USUARIO.hint']}</v>
      </c>
    </row>
    <row r="54" spans="1:9" x14ac:dyDescent="0.25">
      <c r="A54" s="2">
        <f t="shared" si="0"/>
        <v>48</v>
      </c>
      <c r="C54" s="2">
        <v>1</v>
      </c>
      <c r="D54" s="2" t="str">
        <f>VLOOKUP(C54,TB_FNX_TIPO_RESOURCE_BUNDLE!$A$7:$B$28,2,FALSE)</f>
        <v>Botão</v>
      </c>
      <c r="E54" s="2" t="s">
        <v>325</v>
      </c>
      <c r="F54" s="2" t="s">
        <v>194</v>
      </c>
      <c r="G54" s="4" t="s">
        <v>331</v>
      </c>
      <c r="H54" s="25" t="str">
        <f t="shared" si="1"/>
        <v>#{msg['CMD_INCLUIR_USUARIO_EQUIPE.label']}</v>
      </c>
      <c r="I54" s="25" t="str">
        <f t="shared" si="2"/>
        <v>#{msg['CMD_INCLUIR_USUARIO_EQUIPE.hint']}</v>
      </c>
    </row>
    <row r="55" spans="1:9" x14ac:dyDescent="0.25">
      <c r="A55" s="2">
        <f t="shared" si="0"/>
        <v>49</v>
      </c>
      <c r="B55" s="2" t="s">
        <v>191</v>
      </c>
      <c r="C55" s="2">
        <v>1</v>
      </c>
      <c r="D55" s="2" t="str">
        <f>VLOOKUP(C55,TB_FNX_TIPO_RESOURCE_BUNDLE!$A$7:$B$28,2,FALSE)</f>
        <v>Botão</v>
      </c>
      <c r="E55" s="2" t="s">
        <v>251</v>
      </c>
      <c r="F55" s="2" t="s">
        <v>194</v>
      </c>
      <c r="G55" s="26" t="s">
        <v>331</v>
      </c>
      <c r="H55" s="25" t="str">
        <f t="shared" si="1"/>
        <v>#{msg['CMD_INCLUIR_USUARIO_PROJETO.label']}</v>
      </c>
      <c r="I55" s="25" t="str">
        <f t="shared" si="2"/>
        <v>#{msg['CMD_INCLUIR_USUARIO_PROJETO.hint']}</v>
      </c>
    </row>
    <row r="56" spans="1:9" x14ac:dyDescent="0.25">
      <c r="A56" s="2">
        <f t="shared" si="0"/>
        <v>50</v>
      </c>
      <c r="C56" s="2">
        <v>1</v>
      </c>
      <c r="D56" s="2" t="str">
        <f>VLOOKUP(C56,TB_FNX_TIPO_RESOURCE_BUNDLE!$A$7:$B$28,2,FALSE)</f>
        <v>Botão</v>
      </c>
      <c r="E56" s="2" t="s">
        <v>1283</v>
      </c>
      <c r="F56" s="2" t="s">
        <v>1284</v>
      </c>
      <c r="G56" s="26" t="s">
        <v>1284</v>
      </c>
      <c r="H56" s="25" t="str">
        <f t="shared" si="1"/>
        <v>#{msg['CMD_LANC_REAL_ACAO_ITEM.label']}</v>
      </c>
      <c r="I56" s="25" t="str">
        <f t="shared" si="2"/>
        <v>#{msg['CMD_LANC_REAL_ACAO_ITEM.hint']}</v>
      </c>
    </row>
    <row r="57" spans="1:9" x14ac:dyDescent="0.25">
      <c r="A57" s="2">
        <f t="shared" si="0"/>
        <v>51</v>
      </c>
      <c r="C57" s="2">
        <v>1</v>
      </c>
      <c r="D57" s="2" t="str">
        <f>VLOOKUP(C57,TB_FNX_TIPO_RESOURCE_BUNDLE!$A$7:$B$28,2,FALSE)</f>
        <v>Botão</v>
      </c>
      <c r="E57" s="2" t="s">
        <v>1141</v>
      </c>
      <c r="F57" s="2" t="s">
        <v>1142</v>
      </c>
      <c r="G57" s="25" t="s">
        <v>1143</v>
      </c>
      <c r="H57" s="25" t="str">
        <f t="shared" si="1"/>
        <v>#{msg['CMD_LANC_REAL_DETALHAR.label']}</v>
      </c>
      <c r="I57" s="25" t="str">
        <f t="shared" si="2"/>
        <v>#{msg['CMD_LANC_REAL_DETALHAR.hint']}</v>
      </c>
    </row>
    <row r="58" spans="1:9" x14ac:dyDescent="0.25">
      <c r="A58" s="2">
        <f t="shared" si="0"/>
        <v>52</v>
      </c>
      <c r="C58" s="2">
        <v>1</v>
      </c>
      <c r="D58" s="2" t="str">
        <f>VLOOKUP(C58,TB_FNX_TIPO_RESOURCE_BUNDLE!$A$7:$B$28,2,FALSE)</f>
        <v>Botão</v>
      </c>
      <c r="E58" s="2" t="s">
        <v>1224</v>
      </c>
      <c r="F58" s="2" t="s">
        <v>143</v>
      </c>
      <c r="G58" s="25" t="s">
        <v>1225</v>
      </c>
      <c r="H58" s="25" t="str">
        <f t="shared" si="1"/>
        <v>#{msg['CMD_LANC_REAL_EXCLUIR.label']}</v>
      </c>
      <c r="I58" s="25" t="str">
        <f t="shared" si="2"/>
        <v>#{msg['CMD_LANC_REAL_EXCLUIR.hint']}</v>
      </c>
    </row>
    <row r="59" spans="1:9" x14ac:dyDescent="0.25">
      <c r="A59" s="2">
        <f t="shared" si="0"/>
        <v>53</v>
      </c>
      <c r="C59" s="2">
        <v>1</v>
      </c>
      <c r="D59" s="2" t="str">
        <f>VLOOKUP(C59,TB_FNX_TIPO_RESOURCE_BUNDLE!$A$7:$B$28,2,FALSE)</f>
        <v>Botão</v>
      </c>
      <c r="E59" s="2" t="s">
        <v>1226</v>
      </c>
      <c r="F59" s="2" t="s">
        <v>165</v>
      </c>
      <c r="G59" s="4" t="s">
        <v>1227</v>
      </c>
      <c r="H59" s="25" t="str">
        <f t="shared" si="1"/>
        <v>#{msg['CMD_LANC_REAL_FECHAR.label']}</v>
      </c>
      <c r="I59" s="25" t="str">
        <f t="shared" si="2"/>
        <v>#{msg['CMD_LANC_REAL_FECHAR.hint']}</v>
      </c>
    </row>
    <row r="60" spans="1:9" x14ac:dyDescent="0.25">
      <c r="A60" s="2">
        <f t="shared" si="0"/>
        <v>54</v>
      </c>
      <c r="C60" s="2">
        <v>1</v>
      </c>
      <c r="D60" s="2" t="str">
        <f>VLOOKUP(C60,TB_FNX_TIPO_RESOURCE_BUNDLE!$A$7:$B$28,2,FALSE)</f>
        <v>Botão</v>
      </c>
      <c r="E60" s="2" t="s">
        <v>1222</v>
      </c>
      <c r="F60" s="2" t="s">
        <v>162</v>
      </c>
      <c r="G60" s="25" t="s">
        <v>1223</v>
      </c>
      <c r="H60" s="25" t="str">
        <f t="shared" si="1"/>
        <v>#{msg['CMD_LANC_REAL_GRAVAR.label']}</v>
      </c>
      <c r="I60" s="25" t="str">
        <f t="shared" si="2"/>
        <v>#{msg['CMD_LANC_REAL_GRAVAR.hint']}</v>
      </c>
    </row>
    <row r="61" spans="1:9" ht="30" x14ac:dyDescent="0.25">
      <c r="A61" s="2">
        <f t="shared" si="0"/>
        <v>55</v>
      </c>
      <c r="C61" s="2">
        <v>1</v>
      </c>
      <c r="D61" s="2" t="str">
        <f>VLOOKUP(C61,TB_FNX_TIPO_RESOURCE_BUNDLE!$A$7:$B$28,2,FALSE)</f>
        <v>Botão</v>
      </c>
      <c r="E61" s="2" t="s">
        <v>1236</v>
      </c>
      <c r="F61" s="2" t="s">
        <v>1237</v>
      </c>
      <c r="G61" s="26" t="s">
        <v>1238</v>
      </c>
      <c r="H61" s="25" t="str">
        <f t="shared" si="1"/>
        <v>#{msg['CMD_LANC_REAL_GRAVAR_FECHAR.label']}</v>
      </c>
      <c r="I61" s="25" t="str">
        <f t="shared" si="2"/>
        <v>#{msg['CMD_LANC_REAL_GRAVAR_FECHAR.hint']}</v>
      </c>
    </row>
    <row r="62" spans="1:9" x14ac:dyDescent="0.25">
      <c r="A62" s="2">
        <f t="shared" si="0"/>
        <v>56</v>
      </c>
      <c r="C62" s="2">
        <v>1</v>
      </c>
      <c r="D62" s="2" t="str">
        <f>VLOOKUP(C62,TB_FNX_TIPO_RESOURCE_BUNDLE!$A$7:$B$28,2,FALSE)</f>
        <v>Botão</v>
      </c>
      <c r="E62" s="2" t="s">
        <v>1231</v>
      </c>
      <c r="F62" s="2" t="s">
        <v>1232</v>
      </c>
      <c r="G62" s="4" t="s">
        <v>1233</v>
      </c>
      <c r="H62" s="25" t="str">
        <f t="shared" si="1"/>
        <v>#{msg['CMD_LANC_REAL_INCLUIR_ALTERAR.label']}</v>
      </c>
      <c r="I62" s="25" t="str">
        <f t="shared" si="2"/>
        <v>#{msg['CMD_LANC_REAL_INCLUIR_ALTERAR.hint']}</v>
      </c>
    </row>
    <row r="63" spans="1:9" x14ac:dyDescent="0.25">
      <c r="A63" s="2">
        <f t="shared" si="0"/>
        <v>57</v>
      </c>
      <c r="C63" s="2">
        <v>1</v>
      </c>
      <c r="D63" s="2" t="str">
        <f>VLOOKUP(C63,TB_FNX_TIPO_RESOURCE_BUNDLE!$A$7:$B$28,2,FALSE)</f>
        <v>Botão</v>
      </c>
      <c r="E63" s="2" t="s">
        <v>1219</v>
      </c>
      <c r="F63" s="2" t="s">
        <v>1220</v>
      </c>
      <c r="G63" s="25" t="s">
        <v>1268</v>
      </c>
      <c r="H63" s="25" t="str">
        <f t="shared" si="1"/>
        <v>#{msg['CMD_LANC_REAL_INSERIR.label']}</v>
      </c>
      <c r="I63" s="25" t="str">
        <f t="shared" si="2"/>
        <v>#{msg['CMD_LANC_REAL_INSERIR.hint']}</v>
      </c>
    </row>
    <row r="64" spans="1:9" x14ac:dyDescent="0.25">
      <c r="A64" s="2">
        <f t="shared" si="0"/>
        <v>58</v>
      </c>
      <c r="C64" s="2">
        <v>1</v>
      </c>
      <c r="D64" s="2" t="str">
        <f>VLOOKUP(C64,TB_FNX_TIPO_RESOURCE_BUNDLE!$A$7:$B$28,2,FALSE)</f>
        <v>Botão</v>
      </c>
      <c r="E64" s="2" t="s">
        <v>1234</v>
      </c>
      <c r="F64" s="2" t="s">
        <v>170</v>
      </c>
      <c r="G64" s="26" t="s">
        <v>1235</v>
      </c>
      <c r="H64" s="25" t="str">
        <f t="shared" si="1"/>
        <v>#{msg['CMD_LANC_REAL_LIMPAR.label']}</v>
      </c>
      <c r="I64" s="25" t="str">
        <f t="shared" si="2"/>
        <v>#{msg['CMD_LANC_REAL_LIMPAR.hint']}</v>
      </c>
    </row>
    <row r="65" spans="1:9" x14ac:dyDescent="0.25">
      <c r="A65" s="2">
        <f t="shared" si="0"/>
        <v>59</v>
      </c>
      <c r="C65" s="2">
        <v>1</v>
      </c>
      <c r="D65" s="2" t="str">
        <f>VLOOKUP(C65,TB_FNX_TIPO_RESOURCE_BUNDLE!$A$7:$B$28,2,FALSE)</f>
        <v>Botão</v>
      </c>
      <c r="E65" s="2" t="s">
        <v>1228</v>
      </c>
      <c r="F65" s="2" t="s">
        <v>1229</v>
      </c>
      <c r="G65" s="4" t="s">
        <v>1230</v>
      </c>
      <c r="H65" s="25" t="str">
        <f t="shared" si="1"/>
        <v>#{msg['CMD_LANC_REAL_NOVO.label']}</v>
      </c>
      <c r="I65" s="25" t="str">
        <f t="shared" si="2"/>
        <v>#{msg['CMD_LANC_REAL_NOVO.hint']}</v>
      </c>
    </row>
    <row r="66" spans="1:9" x14ac:dyDescent="0.25">
      <c r="A66" s="2">
        <f t="shared" si="0"/>
        <v>60</v>
      </c>
      <c r="C66" s="2">
        <v>1</v>
      </c>
      <c r="D66" s="2" t="str">
        <f>VLOOKUP(C66,TB_FNX_TIPO_RESOURCE_BUNDLE!$A$7:$B$28,2,FALSE)</f>
        <v>Botão</v>
      </c>
      <c r="E66" s="2" t="s">
        <v>1144</v>
      </c>
      <c r="F66" s="2" t="s">
        <v>1130</v>
      </c>
      <c r="G66" s="25" t="s">
        <v>1145</v>
      </c>
      <c r="H66" s="25" t="str">
        <f t="shared" si="1"/>
        <v>#{msg['CMD_LANC_REAL_REG_LOTE.label']}</v>
      </c>
      <c r="I66" s="25" t="str">
        <f t="shared" si="2"/>
        <v>#{msg['CMD_LANC_REAL_REG_LOTE.hint']}</v>
      </c>
    </row>
    <row r="67" spans="1:9" x14ac:dyDescent="0.25">
      <c r="A67" s="2">
        <f t="shared" si="0"/>
        <v>61</v>
      </c>
      <c r="C67" s="2">
        <v>1</v>
      </c>
      <c r="D67" s="2" t="str">
        <f>VLOOKUP(C67,TB_FNX_TIPO_RESOURCE_BUNDLE!$A$7:$B$28,2,FALSE)</f>
        <v>Botão</v>
      </c>
      <c r="E67" s="2" t="s">
        <v>169</v>
      </c>
      <c r="F67" s="2" t="s">
        <v>170</v>
      </c>
      <c r="G67" s="4" t="s">
        <v>733</v>
      </c>
      <c r="H67" s="25" t="str">
        <f t="shared" si="1"/>
        <v>#{msg['CMD_LIMPAR_FILTRO.label']}</v>
      </c>
      <c r="I67" s="25" t="str">
        <f t="shared" si="2"/>
        <v>#{msg['CMD_LIMPAR_FILTRO.hint']}</v>
      </c>
    </row>
    <row r="68" spans="1:9" x14ac:dyDescent="0.25">
      <c r="A68" s="2">
        <f t="shared" si="0"/>
        <v>62</v>
      </c>
      <c r="C68" s="2">
        <v>1</v>
      </c>
      <c r="D68" s="2" t="str">
        <f>VLOOKUP(C68,TB_FNX_TIPO_RESOURCE_BUNDLE!$A$7:$B$28,2,FALSE)</f>
        <v>Botão</v>
      </c>
      <c r="E68" s="2" t="s">
        <v>706</v>
      </c>
      <c r="F68" s="2" t="s">
        <v>2132</v>
      </c>
      <c r="G68" s="4" t="s">
        <v>2133</v>
      </c>
      <c r="H68" s="25" t="str">
        <f t="shared" si="1"/>
        <v>#{msg['CMD_MEM_CALC_ATLZ_AUTO_OFF.label']}</v>
      </c>
      <c r="I68" s="25" t="str">
        <f t="shared" si="2"/>
        <v>#{msg['CMD_MEM_CALC_ATLZ_AUTO_OFF.hint']}</v>
      </c>
    </row>
    <row r="69" spans="1:9" x14ac:dyDescent="0.25">
      <c r="A69" s="2">
        <f t="shared" si="0"/>
        <v>63</v>
      </c>
      <c r="C69" s="2">
        <v>1</v>
      </c>
      <c r="D69" s="2" t="str">
        <f>VLOOKUP(C69,TB_FNX_TIPO_RESOURCE_BUNDLE!$A$7:$B$28,2,FALSE)</f>
        <v>Botão</v>
      </c>
      <c r="E69" s="2" t="s">
        <v>705</v>
      </c>
      <c r="F69" s="2" t="s">
        <v>2131</v>
      </c>
      <c r="G69" s="4" t="s">
        <v>2134</v>
      </c>
      <c r="H69" s="25" t="str">
        <f t="shared" si="1"/>
        <v>#{msg['CMD_MEM_CALC_ATLZ_AUTO_ON.label']}</v>
      </c>
      <c r="I69" s="25" t="str">
        <f t="shared" si="2"/>
        <v>#{msg['CMD_MEM_CALC_ATLZ_AUTO_ON.hint']}</v>
      </c>
    </row>
    <row r="70" spans="1:9" ht="30" x14ac:dyDescent="0.25">
      <c r="A70" s="2">
        <f t="shared" si="0"/>
        <v>64</v>
      </c>
      <c r="C70" s="2">
        <v>1</v>
      </c>
      <c r="D70" s="2" t="str">
        <f>VLOOKUP(C70,TB_FNX_TIPO_RESOURCE_BUNDLE!$A$7:$B$28,2,FALSE)</f>
        <v>Botão</v>
      </c>
      <c r="E70" s="2" t="s">
        <v>712</v>
      </c>
      <c r="F70" s="2" t="s">
        <v>709</v>
      </c>
      <c r="G70" s="4" t="s">
        <v>710</v>
      </c>
      <c r="H70" s="25" t="str">
        <f t="shared" si="1"/>
        <v>#{msg['CMD_MEM_CALC_CONV_DET.label']}</v>
      </c>
      <c r="I70" s="25" t="str">
        <f t="shared" si="2"/>
        <v>#{msg['CMD_MEM_CALC_CONV_DET.hint']}</v>
      </c>
    </row>
    <row r="71" spans="1:9" ht="30" x14ac:dyDescent="0.25">
      <c r="A71" s="2">
        <f t="shared" si="0"/>
        <v>65</v>
      </c>
      <c r="C71" s="2">
        <v>1</v>
      </c>
      <c r="D71" s="2" t="str">
        <f>VLOOKUP(C71,TB_FNX_TIPO_RESOURCE_BUNDLE!$A$7:$B$28,2,FALSE)</f>
        <v>Botão</v>
      </c>
      <c r="E71" s="2" t="s">
        <v>713</v>
      </c>
      <c r="F71" s="2" t="s">
        <v>143</v>
      </c>
      <c r="G71" s="4" t="s">
        <v>1434</v>
      </c>
      <c r="H71" s="25" t="str">
        <f t="shared" si="1"/>
        <v>#{msg['CMD_MEM_CALC_EXCLUIR_DET.label']}</v>
      </c>
      <c r="I71" s="25" t="str">
        <f t="shared" si="2"/>
        <v>#{msg['CMD_MEM_CALC_EXCLUIR_DET.hint']}</v>
      </c>
    </row>
    <row r="72" spans="1:9" ht="45" x14ac:dyDescent="0.25">
      <c r="A72" s="2">
        <f t="shared" ref="A72:A135" si="3">A71+1</f>
        <v>66</v>
      </c>
      <c r="C72" s="2">
        <v>1</v>
      </c>
      <c r="D72" s="2" t="str">
        <f>VLOOKUP(C72,TB_FNX_TIPO_RESOURCE_BUNDLE!$A$7:$B$28,2,FALSE)</f>
        <v>Botão</v>
      </c>
      <c r="E72" s="2" t="s">
        <v>711</v>
      </c>
      <c r="F72" s="2" t="s">
        <v>1229</v>
      </c>
      <c r="G72" s="4" t="s">
        <v>1433</v>
      </c>
      <c r="H72" s="25" t="str">
        <f t="shared" ref="H72:H135" si="4">CONCATENATE("#{msg['",$E72,".label']}")</f>
        <v>#{msg['CMD_MEM_CALC_NOVO_DET.label']}</v>
      </c>
      <c r="I72" s="25" t="str">
        <f t="shared" ref="I72:I135" si="5">CONCATENATE("#{msg['",$E72,".hint']}")</f>
        <v>#{msg['CMD_MEM_CALC_NOVO_DET.hint']}</v>
      </c>
    </row>
    <row r="73" spans="1:9" x14ac:dyDescent="0.25">
      <c r="A73" s="2">
        <f t="shared" si="3"/>
        <v>67</v>
      </c>
      <c r="C73" s="2">
        <v>1</v>
      </c>
      <c r="D73" s="2" t="str">
        <f>VLOOKUP(C73,TB_FNX_TIPO_RESOURCE_BUNDLE!$A$7:$B$28,2,FALSE)</f>
        <v>Botão</v>
      </c>
      <c r="E73" s="2" t="s">
        <v>707</v>
      </c>
      <c r="F73" s="2" t="s">
        <v>708</v>
      </c>
      <c r="G73" s="4" t="s">
        <v>829</v>
      </c>
      <c r="H73" s="25" t="str">
        <f t="shared" si="4"/>
        <v>#{msg['CMD_MEM_CALC_SALVAR.label']}</v>
      </c>
      <c r="I73" s="25" t="str">
        <f t="shared" si="5"/>
        <v>#{msg['CMD_MEM_CALC_SALVAR.hint']}</v>
      </c>
    </row>
    <row r="74" spans="1:9" x14ac:dyDescent="0.25">
      <c r="A74" s="2">
        <f t="shared" si="3"/>
        <v>68</v>
      </c>
      <c r="C74" s="2">
        <v>1</v>
      </c>
      <c r="D74" s="2" t="str">
        <f>VLOOKUP(C74,TB_FNX_TIPO_RESOURCE_BUNDLE!$A$7:$B$28,2,FALSE)</f>
        <v>Botão</v>
      </c>
      <c r="E74" s="2" t="s">
        <v>988</v>
      </c>
      <c r="F74" s="2" t="s">
        <v>912</v>
      </c>
      <c r="G74" s="4" t="s">
        <v>978</v>
      </c>
      <c r="H74" s="25" t="str">
        <f t="shared" si="4"/>
        <v>#{msg['CMD_PC_CHECAR_PENDENCIA.label']}</v>
      </c>
      <c r="I74" s="25" t="str">
        <f t="shared" si="5"/>
        <v>#{msg['CMD_PC_CHECAR_PENDENCIA.hint']}</v>
      </c>
    </row>
    <row r="75" spans="1:9" x14ac:dyDescent="0.25">
      <c r="A75" s="2">
        <f t="shared" si="3"/>
        <v>69</v>
      </c>
      <c r="C75" s="2">
        <v>1</v>
      </c>
      <c r="D75" s="2" t="str">
        <f>VLOOKUP(C75,TB_FNX_TIPO_RESOURCE_BUNDLE!$A$7:$B$28,2,FALSE)</f>
        <v>Botão</v>
      </c>
      <c r="E75" s="2" t="s">
        <v>990</v>
      </c>
      <c r="F75" s="2" t="s">
        <v>914</v>
      </c>
      <c r="G75" s="4" t="s">
        <v>980</v>
      </c>
      <c r="H75" s="25" t="str">
        <f t="shared" si="4"/>
        <v>#{msg['CMD_PC_DESPESAS.label']}</v>
      </c>
      <c r="I75" s="25" t="str">
        <f t="shared" si="5"/>
        <v>#{msg['CMD_PC_DESPESAS.hint']}</v>
      </c>
    </row>
    <row r="76" spans="1:9" x14ac:dyDescent="0.25">
      <c r="A76" s="2">
        <f t="shared" si="3"/>
        <v>70</v>
      </c>
      <c r="C76" s="2">
        <v>1</v>
      </c>
      <c r="D76" s="2" t="str">
        <f>VLOOKUP(C76,TB_FNX_TIPO_RESOURCE_BUNDLE!$A$7:$B$28,2,FALSE)</f>
        <v>Botão</v>
      </c>
      <c r="E76" s="2" t="s">
        <v>992</v>
      </c>
      <c r="F76" s="2" t="s">
        <v>915</v>
      </c>
      <c r="G76" s="4" t="s">
        <v>982</v>
      </c>
      <c r="H76" s="25" t="str">
        <f t="shared" si="4"/>
        <v>#{msg['CMD_PC_ENVIAR.label']}</v>
      </c>
      <c r="I76" s="25" t="str">
        <f t="shared" si="5"/>
        <v>#{msg['CMD_PC_ENVIAR.hint']}</v>
      </c>
    </row>
    <row r="77" spans="1:9" x14ac:dyDescent="0.25">
      <c r="A77" s="2">
        <f t="shared" si="3"/>
        <v>71</v>
      </c>
      <c r="C77" s="2">
        <v>1</v>
      </c>
      <c r="D77" s="2" t="str">
        <f>VLOOKUP(C77,TB_FNX_TIPO_RESOURCE_BUNDLE!$A$7:$B$28,2,FALSE)</f>
        <v>Botão</v>
      </c>
      <c r="E77" s="2" t="s">
        <v>1057</v>
      </c>
      <c r="F77" s="2" t="s">
        <v>143</v>
      </c>
      <c r="G77" s="4" t="s">
        <v>983</v>
      </c>
      <c r="H77" s="25" t="str">
        <f t="shared" si="4"/>
        <v>#{msg['CMD_PC_EXCLUIR.label']}</v>
      </c>
      <c r="I77" s="25" t="str">
        <f t="shared" si="5"/>
        <v>#{msg['CMD_PC_EXCLUIR.hint']}</v>
      </c>
    </row>
    <row r="78" spans="1:9" x14ac:dyDescent="0.25">
      <c r="A78" s="2">
        <f t="shared" si="3"/>
        <v>72</v>
      </c>
      <c r="C78" s="2">
        <v>1</v>
      </c>
      <c r="D78" s="2" t="str">
        <f>VLOOKUP(C78,TB_FNX_TIPO_RESOURCE_BUNDLE!$A$7:$B$28,2,FALSE)</f>
        <v>Botão</v>
      </c>
      <c r="E78" s="2" t="s">
        <v>999</v>
      </c>
      <c r="F78" s="2" t="s">
        <v>918</v>
      </c>
      <c r="G78" s="4" t="s">
        <v>976</v>
      </c>
      <c r="H78" s="25" t="str">
        <f t="shared" si="4"/>
        <v>#{msg['CMD_PC_FILTRAR.label']}</v>
      </c>
      <c r="I78" s="25" t="str">
        <f t="shared" si="5"/>
        <v>#{msg['CMD_PC_FILTRAR.hint']}</v>
      </c>
    </row>
    <row r="79" spans="1:9" x14ac:dyDescent="0.25">
      <c r="A79" s="2">
        <f t="shared" si="3"/>
        <v>73</v>
      </c>
      <c r="C79" s="2">
        <v>1</v>
      </c>
      <c r="D79" s="2" t="str">
        <f>VLOOKUP(C79,TB_FNX_TIPO_RESOURCE_BUNDLE!$A$7:$B$28,2,FALSE)</f>
        <v>Botão</v>
      </c>
      <c r="E79" s="2" t="s">
        <v>987</v>
      </c>
      <c r="F79" s="2" t="s">
        <v>194</v>
      </c>
      <c r="G79" s="4" t="s">
        <v>977</v>
      </c>
      <c r="H79" s="25" t="str">
        <f t="shared" si="4"/>
        <v>#{msg['CMD_PC_INCLUIR.label']}</v>
      </c>
      <c r="I79" s="25" t="str">
        <f t="shared" si="5"/>
        <v>#{msg['CMD_PC_INCLUIR.hint']}</v>
      </c>
    </row>
    <row r="80" spans="1:9" x14ac:dyDescent="0.25">
      <c r="A80" s="2">
        <f t="shared" si="3"/>
        <v>74</v>
      </c>
      <c r="C80" s="2">
        <v>1</v>
      </c>
      <c r="D80" s="2" t="str">
        <f>VLOOKUP(C80,TB_FNX_TIPO_RESOURCE_BUNDLE!$A$7:$B$28,2,FALSE)</f>
        <v>Botão</v>
      </c>
      <c r="E80" s="2" t="s">
        <v>989</v>
      </c>
      <c r="F80" s="2" t="s">
        <v>913</v>
      </c>
      <c r="G80" s="4" t="s">
        <v>979</v>
      </c>
      <c r="H80" s="25" t="str">
        <f t="shared" si="4"/>
        <v>#{msg['CMD_PC_RESUMO_GERAL.label']}</v>
      </c>
      <c r="I80" s="25" t="str">
        <f t="shared" si="5"/>
        <v>#{msg['CMD_PC_RESUMO_GERAL.hint']}</v>
      </c>
    </row>
    <row r="81" spans="1:9" x14ac:dyDescent="0.25">
      <c r="A81" s="2">
        <f t="shared" si="3"/>
        <v>75</v>
      </c>
      <c r="C81" s="2">
        <v>1</v>
      </c>
      <c r="D81" s="2" t="str">
        <f>VLOOKUP(C81,TB_FNX_TIPO_RESOURCE_BUNDLE!$A$7:$B$28,2,FALSE)</f>
        <v>Botão</v>
      </c>
      <c r="E81" s="2" t="s">
        <v>991</v>
      </c>
      <c r="F81" s="2" t="s">
        <v>708</v>
      </c>
      <c r="G81" s="4" t="s">
        <v>981</v>
      </c>
      <c r="H81" s="25" t="str">
        <f t="shared" si="4"/>
        <v>#{msg['CMD_PC_SALVAR.label']}</v>
      </c>
      <c r="I81" s="25" t="str">
        <f t="shared" si="5"/>
        <v>#{msg['CMD_PC_SALVAR.hint']}</v>
      </c>
    </row>
    <row r="82" spans="1:9" x14ac:dyDescent="0.25">
      <c r="A82" s="2">
        <f t="shared" si="3"/>
        <v>76</v>
      </c>
      <c r="C82" s="2">
        <v>4</v>
      </c>
      <c r="D82" s="2" t="str">
        <f>VLOOKUP(C82,TB_FNX_TIPO_RESOURCE_BUNDLE!$A$7:$B$28,2,FALSE)</f>
        <v>Rótulo de entrada de texto</v>
      </c>
      <c r="E82" s="2" t="s">
        <v>1354</v>
      </c>
      <c r="F82" s="2" t="s">
        <v>1355</v>
      </c>
      <c r="G82" s="4" t="s">
        <v>1356</v>
      </c>
      <c r="H82" s="25" t="str">
        <f t="shared" si="4"/>
        <v>#{msg['CMD_PC_VISUALIZAR.label']}</v>
      </c>
      <c r="I82" s="25" t="str">
        <f t="shared" si="5"/>
        <v>#{msg['CMD_PC_VISUALIZAR.hint']}</v>
      </c>
    </row>
    <row r="83" spans="1:9" ht="30" x14ac:dyDescent="0.25">
      <c r="A83" s="2">
        <f t="shared" si="3"/>
        <v>77</v>
      </c>
      <c r="C83" s="2">
        <v>1</v>
      </c>
      <c r="D83" s="2" t="str">
        <f>VLOOKUP(C83,TB_FNX_TIPO_RESOURCE_BUNDLE!$A$7:$B$28,2,FALSE)</f>
        <v>Botão</v>
      </c>
      <c r="E83" s="2" t="s">
        <v>146</v>
      </c>
      <c r="F83" s="2" t="s">
        <v>144</v>
      </c>
      <c r="G83" s="4" t="s">
        <v>153</v>
      </c>
      <c r="H83" s="25" t="str">
        <f t="shared" si="4"/>
        <v>#{msg['CMD_PERFIS_USUARIO.label']}</v>
      </c>
      <c r="I83" s="25" t="str">
        <f t="shared" si="5"/>
        <v>#{msg['CMD_PERFIS_USUARIO.hint']}</v>
      </c>
    </row>
    <row r="84" spans="1:9" x14ac:dyDescent="0.25">
      <c r="A84" s="2">
        <f t="shared" si="3"/>
        <v>78</v>
      </c>
      <c r="B84" s="2" t="s">
        <v>191</v>
      </c>
      <c r="C84" s="2">
        <v>1</v>
      </c>
      <c r="D84" s="2" t="str">
        <f>VLOOKUP(C84,TB_FNX_TIPO_RESOURCE_BUNDLE!$A$7:$B$28,2,FALSE)</f>
        <v>Botão</v>
      </c>
      <c r="E84" s="25" t="s">
        <v>215</v>
      </c>
      <c r="F84" s="2" t="s">
        <v>193</v>
      </c>
      <c r="G84" s="4" t="s">
        <v>734</v>
      </c>
      <c r="H84" s="25" t="str">
        <f t="shared" si="4"/>
        <v>#{msg['CMD_PROCURAR_USUARIO.label']}</v>
      </c>
      <c r="I84" s="25" t="str">
        <f t="shared" si="5"/>
        <v>#{msg['CMD_PROCURAR_USUARIO.hint']}</v>
      </c>
    </row>
    <row r="85" spans="1:9" x14ac:dyDescent="0.25">
      <c r="A85" s="2">
        <f t="shared" si="3"/>
        <v>79</v>
      </c>
      <c r="B85" s="25"/>
      <c r="C85" s="25">
        <v>1</v>
      </c>
      <c r="D85" s="2" t="str">
        <f>VLOOKUP(C85,TB_FNX_TIPO_RESOURCE_BUNDLE!$A$7:$B$28,2,FALSE)</f>
        <v>Botão</v>
      </c>
      <c r="E85" s="25" t="s">
        <v>560</v>
      </c>
      <c r="F85" s="2" t="s">
        <v>562</v>
      </c>
      <c r="G85" s="4" t="s">
        <v>794</v>
      </c>
      <c r="H85" s="25" t="str">
        <f t="shared" si="4"/>
        <v>#{msg['CMD_PROJETO_ORIGINAL.label']}</v>
      </c>
      <c r="I85" s="25" t="str">
        <f t="shared" si="5"/>
        <v>#{msg['CMD_PROJETO_ORIGINAL.hint']}</v>
      </c>
    </row>
    <row r="86" spans="1:9" x14ac:dyDescent="0.25">
      <c r="A86" s="2">
        <f t="shared" si="3"/>
        <v>80</v>
      </c>
      <c r="C86" s="2">
        <v>1</v>
      </c>
      <c r="D86" s="2" t="str">
        <f>VLOOKUP(C86,TB_FNX_TIPO_RESOURCE_BUNDLE!$A$7:$B$28,2,FALSE)</f>
        <v>Botão</v>
      </c>
      <c r="E86" s="25" t="s">
        <v>561</v>
      </c>
      <c r="F86" s="2" t="s">
        <v>563</v>
      </c>
      <c r="G86" s="4" t="s">
        <v>795</v>
      </c>
      <c r="H86" s="25" t="str">
        <f t="shared" si="4"/>
        <v>#{msg['CMD_PROJETO_SIMULACAO.label']}</v>
      </c>
      <c r="I86" s="25" t="str">
        <f t="shared" si="5"/>
        <v>#{msg['CMD_PROJETO_SIMULACAO.hint']}</v>
      </c>
    </row>
    <row r="87" spans="1:9" ht="30" x14ac:dyDescent="0.25">
      <c r="A87" s="2">
        <f t="shared" si="3"/>
        <v>81</v>
      </c>
      <c r="B87" s="2" t="s">
        <v>24</v>
      </c>
      <c r="C87" s="2">
        <v>1</v>
      </c>
      <c r="D87" s="2" t="str">
        <f>VLOOKUP(C87,TB_FNX_TIPO_RESOURCE_BUNDLE!$A$7:$B$28,2,FALSE)</f>
        <v>Botão</v>
      </c>
      <c r="E87" s="25" t="s">
        <v>188</v>
      </c>
      <c r="F87" s="2" t="s">
        <v>180</v>
      </c>
      <c r="G87" s="4" t="s">
        <v>189</v>
      </c>
      <c r="H87" s="25" t="str">
        <f t="shared" si="4"/>
        <v>#{msg['CMD_RECURSOS.label']}</v>
      </c>
      <c r="I87" s="25" t="str">
        <f t="shared" si="5"/>
        <v>#{msg['CMD_RECURSOS.hint']}</v>
      </c>
    </row>
    <row r="88" spans="1:9" x14ac:dyDescent="0.25">
      <c r="A88" s="2">
        <f t="shared" si="3"/>
        <v>82</v>
      </c>
      <c r="B88" s="25"/>
      <c r="C88" s="25">
        <v>1</v>
      </c>
      <c r="D88" s="2" t="str">
        <f>VLOOKUP(C88,TB_FNX_TIPO_RESOURCE_BUNDLE!$A$7:$B$28,2,FALSE)</f>
        <v>Botão</v>
      </c>
      <c r="E88" s="25" t="s">
        <v>230</v>
      </c>
      <c r="F88" s="2" t="s">
        <v>232</v>
      </c>
      <c r="G88" s="4" t="s">
        <v>735</v>
      </c>
      <c r="H88" s="25" t="str">
        <f t="shared" si="4"/>
        <v>#{msg['CMD_RETORNAR.label']}</v>
      </c>
      <c r="I88" s="25" t="str">
        <f t="shared" si="5"/>
        <v>#{msg['CMD_RETORNAR.hint']}</v>
      </c>
    </row>
    <row r="89" spans="1:9" x14ac:dyDescent="0.25">
      <c r="A89" s="2">
        <f t="shared" si="3"/>
        <v>83</v>
      </c>
      <c r="C89" s="2">
        <v>1</v>
      </c>
      <c r="D89" s="2" t="str">
        <f>VLOOKUP(C89,TB_FNX_TIPO_RESOURCE_BUNDLE!$A$7:$B$28,2,FALSE)</f>
        <v>Botão</v>
      </c>
      <c r="E89" s="25" t="s">
        <v>231</v>
      </c>
      <c r="F89" s="2" t="s">
        <v>233</v>
      </c>
      <c r="G89" s="4" t="s">
        <v>736</v>
      </c>
      <c r="H89" s="25" t="str">
        <f t="shared" si="4"/>
        <v>#{msg['CMD_RETORNAR_TODOS.label']}</v>
      </c>
      <c r="I89" s="25" t="str">
        <f t="shared" si="5"/>
        <v>#{msg['CMD_RETORNAR_TODOS.hint']}</v>
      </c>
    </row>
    <row r="90" spans="1:9" x14ac:dyDescent="0.25">
      <c r="A90" s="2">
        <f t="shared" si="3"/>
        <v>84</v>
      </c>
      <c r="B90" s="9"/>
      <c r="C90" s="9">
        <v>1</v>
      </c>
      <c r="D90" s="2" t="str">
        <f>VLOOKUP(C90,TB_FNX_TIPO_RESOURCE_BUNDLE!$A$7:$B$28,2,FALSE)</f>
        <v>Botão</v>
      </c>
      <c r="E90" s="25" t="s">
        <v>171</v>
      </c>
      <c r="F90" s="2" t="s">
        <v>175</v>
      </c>
      <c r="G90" s="4" t="s">
        <v>737</v>
      </c>
      <c r="H90" s="25" t="str">
        <f t="shared" si="4"/>
        <v>#{msg['CMD_SELECIONAR.label']}</v>
      </c>
      <c r="I90" s="25" t="str">
        <f t="shared" si="5"/>
        <v>#{msg['CMD_SELECIONAR.hint']}</v>
      </c>
    </row>
    <row r="91" spans="1:9" x14ac:dyDescent="0.25">
      <c r="A91" s="2">
        <f t="shared" si="3"/>
        <v>85</v>
      </c>
      <c r="C91" s="2">
        <v>1</v>
      </c>
      <c r="D91" s="2" t="str">
        <f>VLOOKUP(C91,TB_FNX_TIPO_RESOURCE_BUNDLE!$A$7:$B$28,2,FALSE)</f>
        <v>Botão</v>
      </c>
      <c r="E91" s="25" t="s">
        <v>284</v>
      </c>
      <c r="F91" s="2" t="s">
        <v>295</v>
      </c>
      <c r="G91" s="4" t="s">
        <v>306</v>
      </c>
      <c r="H91" s="25" t="str">
        <f t="shared" si="4"/>
        <v>#{msg['CMD_SELECIONAR_ENTIDADE.label']}</v>
      </c>
      <c r="I91" s="25" t="str">
        <f t="shared" si="5"/>
        <v>#{msg['CMD_SELECIONAR_ENTIDADE.hint']}</v>
      </c>
    </row>
    <row r="92" spans="1:9" x14ac:dyDescent="0.25">
      <c r="A92" s="2">
        <f t="shared" si="3"/>
        <v>86</v>
      </c>
      <c r="C92" s="2">
        <v>1</v>
      </c>
      <c r="D92" s="2" t="str">
        <f>VLOOKUP(C92,TB_FNX_TIPO_RESOURCE_BUNDLE!$A$7:$B$28,2,FALSE)</f>
        <v>Botão</v>
      </c>
      <c r="E92" s="25" t="s">
        <v>279</v>
      </c>
      <c r="F92" s="2" t="s">
        <v>290</v>
      </c>
      <c r="G92" s="4" t="s">
        <v>301</v>
      </c>
      <c r="H92" s="25" t="str">
        <f t="shared" si="4"/>
        <v>#{msg['CMD_SELECIONAR_PROJETO.label']}</v>
      </c>
      <c r="I92" s="25" t="str">
        <f t="shared" si="5"/>
        <v>#{msg['CMD_SELECIONAR_PROJETO.hint']}</v>
      </c>
    </row>
    <row r="93" spans="1:9" x14ac:dyDescent="0.25">
      <c r="A93" s="2">
        <f t="shared" si="3"/>
        <v>87</v>
      </c>
      <c r="C93" s="2">
        <v>1</v>
      </c>
      <c r="D93" s="2" t="str">
        <f>VLOOKUP(C93,TB_FNX_TIPO_RESOURCE_BUNDLE!$A$7:$B$28,2,FALSE)</f>
        <v>Botão</v>
      </c>
      <c r="E93" s="25" t="s">
        <v>172</v>
      </c>
      <c r="F93" s="2" t="s">
        <v>176</v>
      </c>
      <c r="G93" s="4" t="s">
        <v>738</v>
      </c>
      <c r="H93" s="25" t="str">
        <f t="shared" si="4"/>
        <v>#{msg['CMD_SELECIONAR_TODOS.label']}</v>
      </c>
      <c r="I93" s="25" t="str">
        <f t="shared" si="5"/>
        <v>#{msg['CMD_SELECIONAR_TODOS.hint']}</v>
      </c>
    </row>
    <row r="94" spans="1:9" x14ac:dyDescent="0.25">
      <c r="A94" s="2">
        <f t="shared" si="3"/>
        <v>88</v>
      </c>
      <c r="C94" s="2">
        <v>1</v>
      </c>
      <c r="D94" s="2" t="str">
        <f>VLOOKUP(C94,TB_FNX_TIPO_RESOURCE_BUNDLE!$A$7:$B$28,2,FALSE)</f>
        <v>Botão</v>
      </c>
      <c r="E94" s="25" t="s">
        <v>281</v>
      </c>
      <c r="F94" s="2" t="s">
        <v>292</v>
      </c>
      <c r="G94" s="4" t="s">
        <v>303</v>
      </c>
      <c r="H94" s="25" t="str">
        <f t="shared" si="4"/>
        <v>#{msg['CMD_SELECIONAR_UNIDADE.label']}</v>
      </c>
      <c r="I94" s="25" t="str">
        <f t="shared" si="5"/>
        <v>#{msg['CMD_SELECIONAR_UNIDADE.hint']}</v>
      </c>
    </row>
    <row r="95" spans="1:9" x14ac:dyDescent="0.25">
      <c r="A95" s="2">
        <f t="shared" si="3"/>
        <v>89</v>
      </c>
      <c r="C95" s="2">
        <v>1</v>
      </c>
      <c r="D95" s="2" t="str">
        <f>VLOOKUP(C95,TB_FNX_TIPO_RESOURCE_BUNDLE!$A$7:$B$28,2,FALSE)</f>
        <v>Botão</v>
      </c>
      <c r="E95" s="25" t="s">
        <v>216</v>
      </c>
      <c r="F95" s="2" t="s">
        <v>175</v>
      </c>
      <c r="G95" s="4" t="s">
        <v>739</v>
      </c>
      <c r="H95" s="25" t="str">
        <f t="shared" si="4"/>
        <v>#{msg['CMD_TRANSPORTAR.label']}</v>
      </c>
      <c r="I95" s="25" t="str">
        <f t="shared" si="5"/>
        <v>#{msg['CMD_TRANSPORTAR.hint']}</v>
      </c>
    </row>
    <row r="96" spans="1:9" x14ac:dyDescent="0.25">
      <c r="A96" s="2">
        <f t="shared" si="3"/>
        <v>90</v>
      </c>
      <c r="C96" s="2">
        <v>9</v>
      </c>
      <c r="D96" s="2" t="str">
        <f>VLOOKUP(C96,TB_FNX_TIPO_RESOURCE_BUNDLE!$A$7:$B$28,2,FALSE)</f>
        <v>Propriedade</v>
      </c>
      <c r="E96" s="25" t="s">
        <v>235</v>
      </c>
      <c r="F96" s="2" t="s">
        <v>656</v>
      </c>
      <c r="G96" s="4" t="s">
        <v>740</v>
      </c>
      <c r="H96" s="25" t="str">
        <f t="shared" si="4"/>
        <v>#{msg['FEATURES_OFF.label']}</v>
      </c>
      <c r="I96" s="25" t="str">
        <f t="shared" si="5"/>
        <v>#{msg['FEATURES_OFF.hint']}</v>
      </c>
    </row>
    <row r="97" spans="1:9" x14ac:dyDescent="0.25">
      <c r="A97" s="2">
        <f t="shared" si="3"/>
        <v>91</v>
      </c>
      <c r="C97" s="2">
        <v>4</v>
      </c>
      <c r="D97" s="2" t="str">
        <f>VLOOKUP(C97,TB_FNX_TIPO_RESOURCE_BUNDLE!$A$7:$B$28,2,FALSE)</f>
        <v>Rótulo de entrada de texto</v>
      </c>
      <c r="E97" s="25" t="s">
        <v>198</v>
      </c>
      <c r="F97" s="2" t="s">
        <v>139</v>
      </c>
      <c r="G97" s="26" t="s">
        <v>151</v>
      </c>
      <c r="H97" s="25" t="str">
        <f t="shared" si="4"/>
        <v>#{msg['FILTRO_NOME_ENTIDADE.label']}</v>
      </c>
      <c r="I97" s="25" t="str">
        <f t="shared" si="5"/>
        <v>#{msg['FILTRO_NOME_ENTIDADE.hint']}</v>
      </c>
    </row>
    <row r="98" spans="1:9" ht="30" x14ac:dyDescent="0.25">
      <c r="A98" s="2">
        <f t="shared" si="3"/>
        <v>92</v>
      </c>
      <c r="C98" s="2">
        <v>4</v>
      </c>
      <c r="D98" s="2" t="str">
        <f>VLOOKUP(C98,TB_FNX_TIPO_RESOURCE_BUNDLE!$A$7:$B$28,2,FALSE)</f>
        <v>Rótulo de entrada de texto</v>
      </c>
      <c r="E98" s="25" t="s">
        <v>278</v>
      </c>
      <c r="F98" s="2" t="s">
        <v>287</v>
      </c>
      <c r="G98" s="4" t="s">
        <v>300</v>
      </c>
      <c r="H98" s="25" t="str">
        <f t="shared" si="4"/>
        <v>#{msg['FILTRO_NOME_PROJETO.label']}</v>
      </c>
      <c r="I98" s="25" t="str">
        <f t="shared" si="5"/>
        <v>#{msg['FILTRO_NOME_PROJETO.hint']}</v>
      </c>
    </row>
    <row r="99" spans="1:9" ht="30" x14ac:dyDescent="0.25">
      <c r="A99" s="2">
        <f t="shared" si="3"/>
        <v>93</v>
      </c>
      <c r="C99" s="2">
        <v>4</v>
      </c>
      <c r="D99" s="2" t="str">
        <f>VLOOKUP(C99,TB_FNX_TIPO_RESOURCE_BUNDLE!$A$7:$B$28,2,FALSE)</f>
        <v>Rótulo de entrada de texto</v>
      </c>
      <c r="E99" s="25" t="s">
        <v>218</v>
      </c>
      <c r="F99" s="2" t="s">
        <v>219</v>
      </c>
      <c r="G99" s="4" t="s">
        <v>741</v>
      </c>
      <c r="H99" s="25" t="str">
        <f t="shared" si="4"/>
        <v>#{msg['FILTRO_NOME_UNIDADE.label']}</v>
      </c>
      <c r="I99" s="25" t="str">
        <f t="shared" si="5"/>
        <v>#{msg['FILTRO_NOME_UNIDADE.hint']}</v>
      </c>
    </row>
    <row r="100" spans="1:9" x14ac:dyDescent="0.25">
      <c r="A100" s="2">
        <f t="shared" si="3"/>
        <v>94</v>
      </c>
      <c r="C100" s="2">
        <v>4</v>
      </c>
      <c r="D100" s="2" t="str">
        <f>VLOOKUP(C100,TB_FNX_TIPO_RESOURCE_BUNDLE!$A$7:$B$28,2,FALSE)</f>
        <v>Rótulo de entrada de texto</v>
      </c>
      <c r="E100" s="25" t="s">
        <v>199</v>
      </c>
      <c r="F100" s="2" t="s">
        <v>135</v>
      </c>
      <c r="G100" s="26" t="s">
        <v>147</v>
      </c>
      <c r="H100" s="25" t="str">
        <f t="shared" si="4"/>
        <v>#{msg['FILTRO_NOME_USUARIO.label']}</v>
      </c>
      <c r="I100" s="25" t="str">
        <f t="shared" si="5"/>
        <v>#{msg['FILTRO_NOME_USUARIO.hint']}</v>
      </c>
    </row>
    <row r="101" spans="1:9" ht="30" x14ac:dyDescent="0.25">
      <c r="A101" s="2">
        <f t="shared" si="3"/>
        <v>95</v>
      </c>
      <c r="C101" s="2">
        <v>4</v>
      </c>
      <c r="D101" s="2" t="str">
        <f>VLOOKUP(C101,TB_FNX_TIPO_RESOURCE_BUNDLE!$A$7:$B$28,2,FALSE)</f>
        <v>Rótulo de entrada de texto</v>
      </c>
      <c r="E101" s="25" t="s">
        <v>200</v>
      </c>
      <c r="F101" s="2" t="s">
        <v>136</v>
      </c>
      <c r="G101" s="4" t="s">
        <v>742</v>
      </c>
      <c r="H101" s="25" t="str">
        <f t="shared" si="4"/>
        <v>#{msg['FILTRO_PROJETO.label']}</v>
      </c>
      <c r="I101" s="25" t="str">
        <f t="shared" si="5"/>
        <v>#{msg['FILTRO_PROJETO.hint']}</v>
      </c>
    </row>
    <row r="102" spans="1:9" ht="30" x14ac:dyDescent="0.25">
      <c r="A102" s="2">
        <f t="shared" si="3"/>
        <v>96</v>
      </c>
      <c r="B102" s="2" t="s">
        <v>187</v>
      </c>
      <c r="C102" s="2">
        <v>4</v>
      </c>
      <c r="D102" s="2" t="str">
        <f>VLOOKUP(C102,TB_FNX_TIPO_RESOURCE_BUNDLE!$A$7:$B$28,2,FALSE)</f>
        <v>Rótulo de entrada de texto</v>
      </c>
      <c r="E102" s="25" t="s">
        <v>201</v>
      </c>
      <c r="F102" s="2" t="s">
        <v>168</v>
      </c>
      <c r="G102" s="17" t="s">
        <v>743</v>
      </c>
      <c r="H102" s="25" t="str">
        <f t="shared" si="4"/>
        <v>#{msg['FILTRO_RECURSO.label']}</v>
      </c>
      <c r="I102" s="25" t="str">
        <f t="shared" si="5"/>
        <v>#{msg['FILTRO_RECURSO.hint']}</v>
      </c>
    </row>
    <row r="103" spans="1:9" x14ac:dyDescent="0.25">
      <c r="A103" s="2">
        <f t="shared" si="3"/>
        <v>97</v>
      </c>
      <c r="C103" s="2">
        <v>4</v>
      </c>
      <c r="D103" s="2" t="str">
        <f>VLOOKUP(C103,TB_FNX_TIPO_RESOURCE_BUNDLE!$A$7:$B$28,2,FALSE)</f>
        <v>Rótulo de entrada de texto</v>
      </c>
      <c r="E103" s="25" t="s">
        <v>202</v>
      </c>
      <c r="F103" s="2" t="s">
        <v>137</v>
      </c>
      <c r="G103" s="26" t="s">
        <v>149</v>
      </c>
      <c r="H103" s="25" t="str">
        <f t="shared" si="4"/>
        <v>#{msg['FILTRO_SITUACAO_USUARIO.label']}</v>
      </c>
      <c r="I103" s="25" t="str">
        <f t="shared" si="5"/>
        <v>#{msg['FILTRO_SITUACAO_USUARIO.hint']}</v>
      </c>
    </row>
    <row r="104" spans="1:9" x14ac:dyDescent="0.25">
      <c r="A104" s="2">
        <f t="shared" si="3"/>
        <v>98</v>
      </c>
      <c r="C104" s="2">
        <v>4</v>
      </c>
      <c r="D104" s="2" t="str">
        <f>VLOOKUP(C104,TB_FNX_TIPO_RESOURCE_BUNDLE!$A$7:$B$28,2,FALSE)</f>
        <v>Rótulo de entrada de texto</v>
      </c>
      <c r="E104" s="25" t="s">
        <v>203</v>
      </c>
      <c r="F104" s="2" t="s">
        <v>138</v>
      </c>
      <c r="G104" s="4" t="s">
        <v>150</v>
      </c>
      <c r="H104" s="25" t="str">
        <f t="shared" si="4"/>
        <v>#{msg['FILTRO_TIPO_USUARIO.label']}</v>
      </c>
      <c r="I104" s="25" t="str">
        <f t="shared" si="5"/>
        <v>#{msg['FILTRO_TIPO_USUARIO.hint']}</v>
      </c>
    </row>
    <row r="105" spans="1:9" x14ac:dyDescent="0.25">
      <c r="A105" s="2">
        <f t="shared" si="3"/>
        <v>99</v>
      </c>
      <c r="C105" s="2">
        <v>3</v>
      </c>
      <c r="D105" s="2" t="str">
        <f>VLOOKUP(C105,TB_FNX_TIPO_RESOURCE_BUNDLE!$A$7:$B$28,2,FALSE)</f>
        <v>Grupo de Componentes</v>
      </c>
      <c r="E105" s="2" t="s">
        <v>339</v>
      </c>
      <c r="F105" s="2" t="s">
        <v>340</v>
      </c>
      <c r="G105" s="4" t="s">
        <v>341</v>
      </c>
      <c r="H105" s="25" t="str">
        <f t="shared" si="4"/>
        <v>#{msg['GRP_EQUIPE_PROJETO.label']}</v>
      </c>
      <c r="I105" s="25" t="str">
        <f t="shared" si="5"/>
        <v>#{msg['GRP_EQUIPE_PROJETO.hint']}</v>
      </c>
    </row>
    <row r="106" spans="1:9" x14ac:dyDescent="0.25">
      <c r="A106" s="2">
        <f t="shared" si="3"/>
        <v>100</v>
      </c>
      <c r="B106" s="2" t="s">
        <v>191</v>
      </c>
      <c r="C106" s="2">
        <v>3</v>
      </c>
      <c r="D106" s="2" t="str">
        <f>VLOOKUP(C106,TB_FNX_TIPO_RESOURCE_BUNDLE!$A$7:$B$28,2,FALSE)</f>
        <v>Grupo de Componentes</v>
      </c>
      <c r="E106" s="2" t="s">
        <v>204</v>
      </c>
      <c r="F106" s="2" t="s">
        <v>192</v>
      </c>
      <c r="G106" s="26"/>
      <c r="H106" s="25" t="str">
        <f t="shared" si="4"/>
        <v>#{msg['GRP_RESPONSAVEIS.label']}</v>
      </c>
      <c r="I106" s="25" t="str">
        <f t="shared" si="5"/>
        <v>#{msg['GRP_RESPONSAVEIS.hint']}</v>
      </c>
    </row>
    <row r="107" spans="1:9" x14ac:dyDescent="0.25">
      <c r="A107" s="2">
        <f t="shared" si="3"/>
        <v>101</v>
      </c>
      <c r="B107" s="2" t="s">
        <v>191</v>
      </c>
      <c r="C107" s="2">
        <v>3</v>
      </c>
      <c r="D107" s="2" t="str">
        <f>VLOOKUP(C107,TB_FNX_TIPO_RESOURCE_BUNDLE!$A$7:$B$28,2,FALSE)</f>
        <v>Grupo de Componentes</v>
      </c>
      <c r="E107" s="2" t="s">
        <v>205</v>
      </c>
      <c r="F107" s="2" t="s">
        <v>166</v>
      </c>
      <c r="H107" s="25" t="str">
        <f t="shared" si="4"/>
        <v>#{msg['GRP_USUARIOS.label']}</v>
      </c>
      <c r="I107" s="25" t="str">
        <f t="shared" si="5"/>
        <v>#{msg['GRP_USUARIOS.hint']}</v>
      </c>
    </row>
    <row r="108" spans="1:9" x14ac:dyDescent="0.25">
      <c r="A108" s="2">
        <f t="shared" si="3"/>
        <v>102</v>
      </c>
      <c r="C108" s="2">
        <v>4</v>
      </c>
      <c r="D108" s="2" t="str">
        <f>VLOOKUP(C108,TB_FNX_TIPO_RESOURCE_BUNDLE!$A$7:$B$28,2,FALSE)</f>
        <v>Rótulo de entrada de texto</v>
      </c>
      <c r="E108" s="2" t="s">
        <v>1018</v>
      </c>
      <c r="F108" s="2" t="s">
        <v>933</v>
      </c>
      <c r="G108" s="25" t="s">
        <v>933</v>
      </c>
      <c r="H108" s="25" t="str">
        <f t="shared" si="4"/>
        <v>#{msg['LBL_12_PC_RECURSO_CPARTIDA.label']}</v>
      </c>
      <c r="I108" s="25" t="str">
        <f t="shared" si="5"/>
        <v>#{msg['LBL_12_PC_RECURSO_CPARTIDA.hint']}</v>
      </c>
    </row>
    <row r="109" spans="1:9" x14ac:dyDescent="0.25">
      <c r="A109" s="2">
        <f t="shared" si="3"/>
        <v>103</v>
      </c>
      <c r="C109" s="2">
        <v>4</v>
      </c>
      <c r="D109" s="2" t="str">
        <f>VLOOKUP(C109,TB_FNX_TIPO_RESOURCE_BUNDLE!$A$7:$B$28,2,FALSE)</f>
        <v>Rótulo de entrada de texto</v>
      </c>
      <c r="E109" s="2" t="s">
        <v>1482</v>
      </c>
      <c r="F109" s="2" t="s">
        <v>1483</v>
      </c>
      <c r="H109" s="25" t="str">
        <f t="shared" si="4"/>
        <v>#{msg['LBL_AC_ACAO_EVENTO.label']}</v>
      </c>
      <c r="I109" s="25" t="str">
        <f t="shared" si="5"/>
        <v>#{msg['LBL_AC_ACAO_EVENTO.hint']}</v>
      </c>
    </row>
    <row r="110" spans="1:9" x14ac:dyDescent="0.25">
      <c r="A110" s="2">
        <f t="shared" si="3"/>
        <v>104</v>
      </c>
      <c r="C110" s="2">
        <v>4</v>
      </c>
      <c r="D110" s="2" t="str">
        <f>VLOOKUP(C110,TB_FNX_TIPO_RESOURCE_BUNDLE!$A$7:$B$28,2,FALSE)</f>
        <v>Rótulo de entrada de texto</v>
      </c>
      <c r="E110" s="2" t="s">
        <v>1545</v>
      </c>
      <c r="F110" s="2" t="s">
        <v>1504</v>
      </c>
      <c r="G110" s="4" t="s">
        <v>1512</v>
      </c>
      <c r="H110" s="25" t="str">
        <f t="shared" si="4"/>
        <v>#{msg['LBL_AC_DTCONCLUSAO.label']}</v>
      </c>
      <c r="I110" s="25" t="str">
        <f t="shared" si="5"/>
        <v>#{msg['LBL_AC_DTCONCLUSAO.hint']}</v>
      </c>
    </row>
    <row r="111" spans="1:9" x14ac:dyDescent="0.25">
      <c r="A111" s="2">
        <f t="shared" si="3"/>
        <v>105</v>
      </c>
      <c r="C111" s="2">
        <v>4</v>
      </c>
      <c r="D111" s="2" t="str">
        <f>VLOOKUP(C111,TB_FNX_TIPO_RESOURCE_BUNDLE!$A$7:$B$28,2,FALSE)</f>
        <v>Rótulo de entrada de texto</v>
      </c>
      <c r="E111" s="2" t="s">
        <v>1543</v>
      </c>
      <c r="F111" s="2" t="s">
        <v>1502</v>
      </c>
      <c r="G111" s="26" t="s">
        <v>1492</v>
      </c>
      <c r="H111" s="25" t="str">
        <f t="shared" si="4"/>
        <v>#{msg['LBL_AC_DTINICIO.label']}</v>
      </c>
      <c r="I111" s="25" t="str">
        <f t="shared" si="5"/>
        <v>#{msg['LBL_AC_DTINICIO.hint']}</v>
      </c>
    </row>
    <row r="112" spans="1:9" x14ac:dyDescent="0.25">
      <c r="A112" s="2">
        <f t="shared" si="3"/>
        <v>106</v>
      </c>
      <c r="C112" s="2">
        <v>4</v>
      </c>
      <c r="D112" s="2" t="str">
        <f>VLOOKUP(C112,TB_FNX_TIPO_RESOURCE_BUNDLE!$A$7:$B$28,2,FALSE)</f>
        <v>Rótulo de entrada de texto</v>
      </c>
      <c r="E112" s="2" t="s">
        <v>1544</v>
      </c>
      <c r="F112" s="2" t="s">
        <v>1503</v>
      </c>
      <c r="G112" s="4" t="s">
        <v>1511</v>
      </c>
      <c r="H112" s="25" t="str">
        <f t="shared" si="4"/>
        <v>#{msg['LBL_AC_DTTERMINO.label']}</v>
      </c>
      <c r="I112" s="25" t="str">
        <f t="shared" si="5"/>
        <v>#{msg['LBL_AC_DTTERMINO.hint']}</v>
      </c>
    </row>
    <row r="113" spans="1:9" x14ac:dyDescent="0.25">
      <c r="A113" s="2">
        <f t="shared" si="3"/>
        <v>107</v>
      </c>
      <c r="C113" s="2">
        <v>4</v>
      </c>
      <c r="D113" s="2" t="str">
        <f>VLOOKUP(C113,TB_FNX_TIPO_RESOURCE_BUNDLE!$A$7:$B$28,2,FALSE)</f>
        <v>Rótulo de entrada de texto</v>
      </c>
      <c r="E113" s="2" t="s">
        <v>1629</v>
      </c>
      <c r="F113" s="2" t="s">
        <v>1627</v>
      </c>
      <c r="H113" s="25" t="str">
        <f t="shared" si="4"/>
        <v>#{msg['LBL_AC_EDITAR.label']}</v>
      </c>
      <c r="I113" s="25" t="str">
        <f t="shared" si="5"/>
        <v>#{msg['LBL_AC_EDITAR.hint']}</v>
      </c>
    </row>
    <row r="114" spans="1:9" x14ac:dyDescent="0.25">
      <c r="A114" s="2">
        <f t="shared" si="3"/>
        <v>108</v>
      </c>
      <c r="C114" s="2">
        <v>4</v>
      </c>
      <c r="D114" s="2" t="str">
        <f>VLOOKUP(C114,TB_FNX_TIPO_RESOURCE_BUNDLE!$A$7:$B$28,2,FALSE)</f>
        <v>Rótulo de entrada de texto</v>
      </c>
      <c r="E114" s="2" t="s">
        <v>1580</v>
      </c>
      <c r="F114" s="2" t="s">
        <v>1505</v>
      </c>
      <c r="G114" s="25" t="s">
        <v>1582</v>
      </c>
      <c r="H114" s="25" t="str">
        <f t="shared" si="4"/>
        <v>#{msg['LBL_AC_EDT_ACAO_SEM_CUSTO.label']}</v>
      </c>
      <c r="I114" s="25" t="str">
        <f t="shared" si="5"/>
        <v>#{msg['LBL_AC_EDT_ACAO_SEM_CUSTO.hint']}</v>
      </c>
    </row>
    <row r="115" spans="1:9" x14ac:dyDescent="0.25">
      <c r="A115" s="2">
        <f t="shared" si="3"/>
        <v>109</v>
      </c>
      <c r="C115" s="2">
        <v>4</v>
      </c>
      <c r="D115" s="2" t="str">
        <f>VLOOKUP(C115,TB_FNX_TIPO_RESOURCE_BUNDLE!$A$7:$B$28,2,FALSE)</f>
        <v>Rótulo de entrada de texto</v>
      </c>
      <c r="E115" s="2" t="s">
        <v>1576</v>
      </c>
      <c r="F115" s="2" t="s">
        <v>1561</v>
      </c>
      <c r="G115" s="4" t="s">
        <v>1561</v>
      </c>
      <c r="H115" s="25" t="str">
        <f t="shared" si="4"/>
        <v>#{msg['LBL_AC_EDT_DETALHES.label']}</v>
      </c>
      <c r="I115" s="25" t="str">
        <f t="shared" si="5"/>
        <v>#{msg['LBL_AC_EDT_DETALHES.hint']}</v>
      </c>
    </row>
    <row r="116" spans="1:9" x14ac:dyDescent="0.25">
      <c r="A116" s="2">
        <f t="shared" si="3"/>
        <v>110</v>
      </c>
      <c r="C116" s="2">
        <v>4</v>
      </c>
      <c r="D116" s="2" t="str">
        <f>VLOOKUP(C116,TB_FNX_TIPO_RESOURCE_BUNDLE!$A$7:$B$28,2,FALSE)</f>
        <v>Rótulo de entrada de texto</v>
      </c>
      <c r="E116" s="2" t="s">
        <v>1568</v>
      </c>
      <c r="F116" s="2" t="s">
        <v>1553</v>
      </c>
      <c r="G116" s="4" t="s">
        <v>1553</v>
      </c>
      <c r="H116" s="25" t="str">
        <f t="shared" si="4"/>
        <v>#{msg['LBL_AC_EDT_DTCONCLUSAO_AVAL.label']}</v>
      </c>
      <c r="I116" s="25" t="str">
        <f t="shared" si="5"/>
        <v>#{msg['LBL_AC_EDT_DTCONCLUSAO_AVAL.hint']}</v>
      </c>
    </row>
    <row r="117" spans="1:9" x14ac:dyDescent="0.25">
      <c r="A117" s="2">
        <f t="shared" si="3"/>
        <v>111</v>
      </c>
      <c r="C117" s="2">
        <v>4</v>
      </c>
      <c r="D117" s="2" t="str">
        <f>VLOOKUP(C117,TB_FNX_TIPO_RESOURCE_BUNDLE!$A$7:$B$28,2,FALSE)</f>
        <v>Rótulo de entrada de texto</v>
      </c>
      <c r="E117" s="2" t="s">
        <v>1570</v>
      </c>
      <c r="F117" s="2" t="s">
        <v>1555</v>
      </c>
      <c r="G117" s="4" t="s">
        <v>1555</v>
      </c>
      <c r="H117" s="25" t="str">
        <f t="shared" si="4"/>
        <v>#{msg['LBL_AC_EDT_DTFIM_PROJETO.label']}</v>
      </c>
      <c r="I117" s="25" t="str">
        <f t="shared" si="5"/>
        <v>#{msg['LBL_AC_EDT_DTFIM_PROJETO.hint']}</v>
      </c>
    </row>
    <row r="118" spans="1:9" x14ac:dyDescent="0.25">
      <c r="A118" s="2">
        <f t="shared" si="3"/>
        <v>112</v>
      </c>
      <c r="C118" s="2">
        <v>4</v>
      </c>
      <c r="D118" s="2" t="str">
        <f>VLOOKUP(C118,TB_FNX_TIPO_RESOURCE_BUNDLE!$A$7:$B$28,2,FALSE)</f>
        <v>Rótulo de entrada de texto</v>
      </c>
      <c r="E118" s="2" t="s">
        <v>1577</v>
      </c>
      <c r="F118" s="2" t="s">
        <v>1552</v>
      </c>
      <c r="G118" s="4" t="s">
        <v>1552</v>
      </c>
      <c r="H118" s="25" t="str">
        <f t="shared" si="4"/>
        <v>#{msg['LBL_AC_EDT_DTINICIO_PREPARACAO.label']}</v>
      </c>
      <c r="I118" s="25" t="str">
        <f t="shared" si="5"/>
        <v>#{msg['LBL_AC_EDT_DTINICIO_PREPARACAO.hint']}</v>
      </c>
    </row>
    <row r="119" spans="1:9" x14ac:dyDescent="0.25">
      <c r="A119" s="2">
        <f t="shared" si="3"/>
        <v>113</v>
      </c>
      <c r="C119" s="2">
        <v>4</v>
      </c>
      <c r="D119" s="2" t="str">
        <f>VLOOKUP(C119,TB_FNX_TIPO_RESOURCE_BUNDLE!$A$7:$B$28,2,FALSE)</f>
        <v>Rótulo de entrada de texto</v>
      </c>
      <c r="E119" s="2" t="s">
        <v>1569</v>
      </c>
      <c r="F119" s="2" t="s">
        <v>1554</v>
      </c>
      <c r="G119" s="26" t="s">
        <v>1554</v>
      </c>
      <c r="H119" s="25" t="str">
        <f t="shared" si="4"/>
        <v>#{msg['LBL_AC_EDT_DTINICIO_PROJETO.label']}</v>
      </c>
      <c r="I119" s="25" t="str">
        <f t="shared" si="5"/>
        <v>#{msg['LBL_AC_EDT_DTINICIO_PROJETO.hint']}</v>
      </c>
    </row>
    <row r="120" spans="1:9" x14ac:dyDescent="0.25">
      <c r="A120" s="2">
        <f t="shared" si="3"/>
        <v>114</v>
      </c>
      <c r="C120" s="2">
        <v>4</v>
      </c>
      <c r="D120" s="2" t="str">
        <f>VLOOKUP(C120,TB_FNX_TIPO_RESOURCE_BUNDLE!$A$7:$B$28,2,FALSE)</f>
        <v>Rótulo de entrada de texto</v>
      </c>
      <c r="E120" s="2" t="s">
        <v>1566</v>
      </c>
      <c r="F120" s="2" t="s">
        <v>1550</v>
      </c>
      <c r="G120" s="4" t="s">
        <v>1550</v>
      </c>
      <c r="H120" s="25" t="str">
        <f t="shared" si="4"/>
        <v>#{msg['LBL_AC_EDT_ESCOPO_ACAO.label']}</v>
      </c>
      <c r="I120" s="25" t="str">
        <f t="shared" si="5"/>
        <v>#{msg['LBL_AC_EDT_ESCOPO_ACAO.hint']}</v>
      </c>
    </row>
    <row r="121" spans="1:9" x14ac:dyDescent="0.25">
      <c r="A121" s="2">
        <f t="shared" si="3"/>
        <v>115</v>
      </c>
      <c r="C121" s="2">
        <v>4</v>
      </c>
      <c r="D121" s="2" t="str">
        <f>VLOOKUP(C121,TB_FNX_TIPO_RESOURCE_BUNDLE!$A$7:$B$28,2,FALSE)</f>
        <v>Rótulo de entrada de texto</v>
      </c>
      <c r="E121" s="2" t="s">
        <v>1564</v>
      </c>
      <c r="F121" s="2" t="s">
        <v>1548</v>
      </c>
      <c r="G121" s="4" t="s">
        <v>1548</v>
      </c>
      <c r="H121" s="25" t="str">
        <f t="shared" si="4"/>
        <v>#{msg['LBL_AC_EDT_EVENTOS_ACAO.label']}</v>
      </c>
      <c r="I121" s="25" t="str">
        <f t="shared" si="5"/>
        <v>#{msg['LBL_AC_EDT_EVENTOS_ACAO.hint']}</v>
      </c>
    </row>
    <row r="122" spans="1:9" x14ac:dyDescent="0.25">
      <c r="A122" s="2">
        <f t="shared" si="3"/>
        <v>116</v>
      </c>
      <c r="C122" s="2">
        <v>4</v>
      </c>
      <c r="D122" s="2" t="str">
        <f>VLOOKUP(C122,TB_FNX_TIPO_RESOURCE_BUNDLE!$A$7:$B$28,2,FALSE)</f>
        <v>Rótulo de entrada de texto</v>
      </c>
      <c r="E122" s="2" t="s">
        <v>1581</v>
      </c>
      <c r="F122" s="2" t="s">
        <v>1583</v>
      </c>
      <c r="G122" s="25" t="s">
        <v>1584</v>
      </c>
      <c r="H122" s="25" t="str">
        <f t="shared" si="4"/>
        <v>#{msg['LBL_AC_EDT_ITENS_ORCAM.label']}</v>
      </c>
      <c r="I122" s="25" t="str">
        <f t="shared" si="5"/>
        <v>#{msg['LBL_AC_EDT_ITENS_ORCAM.hint']}</v>
      </c>
    </row>
    <row r="123" spans="1:9" x14ac:dyDescent="0.25">
      <c r="A123" s="2">
        <f t="shared" si="3"/>
        <v>117</v>
      </c>
      <c r="C123" s="2">
        <v>4</v>
      </c>
      <c r="D123" s="2" t="str">
        <f>VLOOKUP(C123,TB_FNX_TIPO_RESOURCE_BUNDLE!$A$7:$B$28,2,FALSE)</f>
        <v>Rótulo de entrada de texto</v>
      </c>
      <c r="E123" s="2" t="s">
        <v>1563</v>
      </c>
      <c r="F123" s="2" t="s">
        <v>1488</v>
      </c>
      <c r="G123" s="4" t="s">
        <v>1488</v>
      </c>
      <c r="H123" s="25" t="str">
        <f t="shared" si="4"/>
        <v>#{msg['LBL_AC_EDT_NOME_ACAO.label']}</v>
      </c>
      <c r="I123" s="25" t="str">
        <f t="shared" si="5"/>
        <v>#{msg['LBL_AC_EDT_NOME_ACAO.hint']}</v>
      </c>
    </row>
    <row r="124" spans="1:9" x14ac:dyDescent="0.25">
      <c r="A124" s="2">
        <f t="shared" si="3"/>
        <v>118</v>
      </c>
      <c r="C124" s="2">
        <v>4</v>
      </c>
      <c r="D124" s="2" t="str">
        <f>VLOOKUP(C124,TB_FNX_TIPO_RESOURCE_BUNDLE!$A$7:$B$28,2,FALSE)</f>
        <v>Rótulo de entrada de texto</v>
      </c>
      <c r="E124" s="2" t="s">
        <v>1574</v>
      </c>
      <c r="F124" s="2" t="s">
        <v>1559</v>
      </c>
      <c r="G124" s="4" t="s">
        <v>1559</v>
      </c>
      <c r="H124" s="25" t="str">
        <f t="shared" si="4"/>
        <v>#{msg['LBL_AC_EDT_NUM_PREV_EMPRESAS.label']}</v>
      </c>
      <c r="I124" s="25" t="str">
        <f t="shared" si="5"/>
        <v>#{msg['LBL_AC_EDT_NUM_PREV_EMPRESAS.hint']}</v>
      </c>
    </row>
    <row r="125" spans="1:9" x14ac:dyDescent="0.25">
      <c r="A125" s="2">
        <f t="shared" si="3"/>
        <v>119</v>
      </c>
      <c r="C125" s="2">
        <v>4</v>
      </c>
      <c r="D125" s="2" t="str">
        <f>VLOOKUP(C125,TB_FNX_TIPO_RESOURCE_BUNDLE!$A$7:$B$28,2,FALSE)</f>
        <v>Rótulo de entrada de texto</v>
      </c>
      <c r="E125" s="2" t="s">
        <v>1579</v>
      </c>
      <c r="F125" s="2" t="s">
        <v>1578</v>
      </c>
      <c r="G125" s="4" t="s">
        <v>1558</v>
      </c>
      <c r="H125" s="25" t="str">
        <f t="shared" si="4"/>
        <v>#{msg['LBL_AC_EDT_PARTICIPANTES.label']}</v>
      </c>
      <c r="I125" s="25" t="str">
        <f t="shared" si="5"/>
        <v>#{msg['LBL_AC_EDT_PARTICIPANTES.hint']}</v>
      </c>
    </row>
    <row r="126" spans="1:9" x14ac:dyDescent="0.25">
      <c r="A126" s="25">
        <f t="shared" si="3"/>
        <v>120</v>
      </c>
      <c r="C126" s="2">
        <v>4</v>
      </c>
      <c r="D126" s="2" t="str">
        <f>VLOOKUP(C126,TB_FNX_TIPO_RESOURCE_BUNDLE!$A$7:$B$28,2,FALSE)</f>
        <v>Rótulo de entrada de texto</v>
      </c>
      <c r="E126" s="2" t="s">
        <v>1573</v>
      </c>
      <c r="F126" s="2" t="s">
        <v>1558</v>
      </c>
      <c r="G126" s="4" t="s">
        <v>1558</v>
      </c>
      <c r="H126" s="25" t="str">
        <f t="shared" si="4"/>
        <v>#{msg['LBL_AC_EDT_PARTICIPANTES_ACAO.label']}</v>
      </c>
      <c r="I126" s="25" t="str">
        <f t="shared" si="5"/>
        <v>#{msg['LBL_AC_EDT_PARTICIPANTES_ACAO.hint']}</v>
      </c>
    </row>
    <row r="127" spans="1:9" x14ac:dyDescent="0.25">
      <c r="A127" s="2">
        <f t="shared" si="3"/>
        <v>121</v>
      </c>
      <c r="C127" s="2">
        <v>4</v>
      </c>
      <c r="D127" s="2" t="str">
        <f>VLOOKUP(C127,TB_FNX_TIPO_RESOURCE_BUNDLE!$A$7:$B$28,2,FALSE)</f>
        <v>Rótulo de entrada de texto</v>
      </c>
      <c r="E127" s="2" t="s">
        <v>1575</v>
      </c>
      <c r="F127" s="2" t="s">
        <v>1560</v>
      </c>
      <c r="G127" s="4" t="s">
        <v>1560</v>
      </c>
      <c r="H127" s="25" t="str">
        <f t="shared" si="4"/>
        <v>#{msg['LBL_AC_EDT_PARTICIPANTES_PROJETO.label']}</v>
      </c>
      <c r="I127" s="25" t="str">
        <f t="shared" si="5"/>
        <v>#{msg['LBL_AC_EDT_PARTICIPANTES_PROJETO.hint']}</v>
      </c>
    </row>
    <row r="128" spans="1:9" x14ac:dyDescent="0.25">
      <c r="A128" s="2">
        <f t="shared" si="3"/>
        <v>122</v>
      </c>
      <c r="C128" s="2">
        <v>4</v>
      </c>
      <c r="D128" s="2" t="str">
        <f>VLOOKUP(C128,TB_FNX_TIPO_RESOURCE_BUNDLE!$A$7:$B$28,2,FALSE)</f>
        <v>Rótulo de entrada de texto</v>
      </c>
      <c r="E128" s="2" t="s">
        <v>1572</v>
      </c>
      <c r="F128" s="2" t="s">
        <v>1557</v>
      </c>
      <c r="G128" s="26" t="s">
        <v>1557</v>
      </c>
      <c r="H128" s="25" t="str">
        <f t="shared" si="4"/>
        <v>#{msg['LBL_AC_EDT_PERC_EXECUCAO.label']}</v>
      </c>
      <c r="I128" s="25" t="str">
        <f t="shared" si="5"/>
        <v>#{msg['LBL_AC_EDT_PERC_EXECUCAO.hint']}</v>
      </c>
    </row>
    <row r="129" spans="1:9" x14ac:dyDescent="0.25">
      <c r="A129" s="2">
        <f t="shared" si="3"/>
        <v>123</v>
      </c>
      <c r="C129" s="2">
        <v>4</v>
      </c>
      <c r="D129" s="2" t="str">
        <f>VLOOKUP(C129,TB_FNX_TIPO_RESOURCE_BUNDLE!$A$7:$B$28,2,FALSE)</f>
        <v>Rótulo de entrada de texto</v>
      </c>
      <c r="E129" s="2" t="s">
        <v>1565</v>
      </c>
      <c r="F129" s="2" t="s">
        <v>1549</v>
      </c>
      <c r="G129" s="4" t="s">
        <v>1549</v>
      </c>
      <c r="H129" s="25" t="str">
        <f t="shared" si="4"/>
        <v>#{msg['LBL_AC_EDT_PLANEJAMENTO_ACAO.label']}</v>
      </c>
      <c r="I129" s="25" t="str">
        <f t="shared" si="5"/>
        <v>#{msg['LBL_AC_EDT_PLANEJAMENTO_ACAO.hint']}</v>
      </c>
    </row>
    <row r="130" spans="1:9" x14ac:dyDescent="0.25">
      <c r="A130" s="2">
        <f t="shared" si="3"/>
        <v>124</v>
      </c>
      <c r="C130" s="2">
        <v>4</v>
      </c>
      <c r="D130" s="2" t="str">
        <f>VLOOKUP(C130,TB_FNX_TIPO_RESOURCE_BUNDLE!$A$7:$B$28,2,FALSE)</f>
        <v>Rótulo de entrada de texto</v>
      </c>
      <c r="E130" s="2" t="s">
        <v>1567</v>
      </c>
      <c r="F130" s="2" t="s">
        <v>1551</v>
      </c>
      <c r="G130" s="26" t="s">
        <v>1551</v>
      </c>
      <c r="H130" s="25" t="str">
        <f t="shared" si="4"/>
        <v>#{msg['LBL_AC_EDT_RESP_ACAO.label']}</v>
      </c>
      <c r="I130" s="25" t="str">
        <f t="shared" si="5"/>
        <v>#{msg['LBL_AC_EDT_RESP_ACAO.hint']}</v>
      </c>
    </row>
    <row r="131" spans="1:9" x14ac:dyDescent="0.25">
      <c r="A131" s="2">
        <f t="shared" si="3"/>
        <v>125</v>
      </c>
      <c r="C131" s="2">
        <v>4</v>
      </c>
      <c r="D131" s="2" t="str">
        <f>VLOOKUP(C131,TB_FNX_TIPO_RESOURCE_BUNDLE!$A$7:$B$28,2,FALSE)</f>
        <v>Rótulo de entrada de texto</v>
      </c>
      <c r="E131" s="2" t="s">
        <v>1571</v>
      </c>
      <c r="F131" s="2" t="s">
        <v>1556</v>
      </c>
      <c r="G131" s="26" t="s">
        <v>1556</v>
      </c>
      <c r="H131" s="25" t="str">
        <f t="shared" si="4"/>
        <v>#{msg['LBL_AC_EDT_STATUS_TAREFA.label']}</v>
      </c>
      <c r="I131" s="25" t="str">
        <f t="shared" si="5"/>
        <v>#{msg['LBL_AC_EDT_STATUS_TAREFA.hint']}</v>
      </c>
    </row>
    <row r="132" spans="1:9" x14ac:dyDescent="0.25">
      <c r="A132" s="2">
        <f t="shared" si="3"/>
        <v>126</v>
      </c>
      <c r="C132" s="2">
        <v>4</v>
      </c>
      <c r="D132" s="2" t="str">
        <f>VLOOKUP(C132,TB_FNX_TIPO_RESOURCE_BUNDLE!$A$7:$B$28,2,FALSE)</f>
        <v>Rótulo de entrada de texto</v>
      </c>
      <c r="E132" s="2" t="s">
        <v>1562</v>
      </c>
      <c r="F132" s="2" t="s">
        <v>1486</v>
      </c>
      <c r="G132" s="26" t="s">
        <v>1486</v>
      </c>
      <c r="H132" s="25" t="str">
        <f t="shared" si="4"/>
        <v>#{msg['LBL_AC_EDT_TIPO_ACAO.label']}</v>
      </c>
      <c r="I132" s="25" t="str">
        <f t="shared" si="5"/>
        <v>#{msg['LBL_AC_EDT_TIPO_ACAO.hint']}</v>
      </c>
    </row>
    <row r="133" spans="1:9" x14ac:dyDescent="0.25">
      <c r="A133" s="2">
        <f t="shared" si="3"/>
        <v>127</v>
      </c>
      <c r="C133" s="2">
        <v>4</v>
      </c>
      <c r="D133" s="2" t="str">
        <f>VLOOKUP(C133,TB_FNX_TIPO_RESOURCE_BUNDLE!$A$7:$B$28,2,FALSE)</f>
        <v>Rótulo de entrada de texto</v>
      </c>
      <c r="E133" s="2" t="s">
        <v>1610</v>
      </c>
      <c r="F133" s="2" t="s">
        <v>1593</v>
      </c>
      <c r="G133" s="25" t="s">
        <v>1593</v>
      </c>
      <c r="H133" s="25" t="str">
        <f t="shared" si="4"/>
        <v>#{msg['LBL_AC_EV_ABRANG_GEO_IMPORT_SETOR.label']}</v>
      </c>
      <c r="I133" s="25" t="str">
        <f t="shared" si="5"/>
        <v>#{msg['LBL_AC_EV_ABRANG_GEO_IMPORT_SETOR.hint']}</v>
      </c>
    </row>
    <row r="134" spans="1:9" x14ac:dyDescent="0.25">
      <c r="A134" s="2">
        <f t="shared" si="3"/>
        <v>128</v>
      </c>
      <c r="C134" s="2">
        <v>4</v>
      </c>
      <c r="D134" s="2" t="str">
        <f>VLOOKUP(C134,TB_FNX_TIPO_RESOURCE_BUNDLE!$A$7:$B$28,2,FALSE)</f>
        <v>Rótulo de entrada de texto</v>
      </c>
      <c r="E134" s="2" t="s">
        <v>1606</v>
      </c>
      <c r="F134" s="2" t="s">
        <v>1589</v>
      </c>
      <c r="G134" s="25" t="s">
        <v>1599</v>
      </c>
      <c r="H134" s="25" t="str">
        <f t="shared" si="4"/>
        <v>#{msg['LBL_AC_EV_CIDADE.label']}</v>
      </c>
      <c r="I134" s="25" t="str">
        <f t="shared" si="5"/>
        <v>#{msg['LBL_AC_EV_CIDADE.hint']}</v>
      </c>
    </row>
    <row r="135" spans="1:9" x14ac:dyDescent="0.25">
      <c r="A135" s="2">
        <f t="shared" si="3"/>
        <v>129</v>
      </c>
      <c r="C135" s="2">
        <v>4</v>
      </c>
      <c r="D135" s="2" t="str">
        <f>VLOOKUP(C135,TB_FNX_TIPO_RESOURCE_BUNDLE!$A$7:$B$28,2,FALSE)</f>
        <v>Rótulo de entrada de texto</v>
      </c>
      <c r="E135" s="2" t="s">
        <v>1647</v>
      </c>
      <c r="F135" s="2" t="s">
        <v>1648</v>
      </c>
      <c r="G135" s="26" t="s">
        <v>1648</v>
      </c>
      <c r="H135" s="25" t="str">
        <f t="shared" si="4"/>
        <v>#{msg['LBL_AC_EV_DESCRICAO.label']}</v>
      </c>
      <c r="I135" s="25" t="str">
        <f t="shared" si="5"/>
        <v>#{msg['LBL_AC_EV_DESCRICAO.hint']}</v>
      </c>
    </row>
    <row r="136" spans="1:9" x14ac:dyDescent="0.25">
      <c r="A136" s="2">
        <f t="shared" ref="A136:A199" si="6">A135+1</f>
        <v>130</v>
      </c>
      <c r="C136" s="2">
        <v>4</v>
      </c>
      <c r="D136" s="2" t="str">
        <f>VLOOKUP(C136,TB_FNX_TIPO_RESOURCE_BUNDLE!$A$7:$B$28,2,FALSE)</f>
        <v>Rótulo de entrada de texto</v>
      </c>
      <c r="E136" s="2" t="s">
        <v>1603</v>
      </c>
      <c r="F136" s="2" t="s">
        <v>1586</v>
      </c>
      <c r="G136" s="25" t="s">
        <v>1586</v>
      </c>
      <c r="H136" s="25" t="str">
        <f t="shared" ref="H136:H199" si="7">CONCATENATE("#{msg['",$E136,".label']}")</f>
        <v>#{msg['LBL_AC_EV_DT_CONFIRMADAS.label']}</v>
      </c>
      <c r="I136" s="25" t="str">
        <f t="shared" ref="I136:I199" si="8">CONCATENATE("#{msg['",$E136,".hint']}")</f>
        <v>#{msg['LBL_AC_EV_DT_CONFIRMADAS.hint']}</v>
      </c>
    </row>
    <row r="137" spans="1:9" x14ac:dyDescent="0.25">
      <c r="A137" s="2">
        <f t="shared" si="6"/>
        <v>131</v>
      </c>
      <c r="C137" s="2">
        <v>4</v>
      </c>
      <c r="D137" s="2" t="str">
        <f>VLOOKUP(C137,TB_FNX_TIPO_RESOURCE_BUNDLE!$A$7:$B$28,2,FALSE)</f>
        <v>Rótulo de entrada de texto</v>
      </c>
      <c r="E137" s="2" t="s">
        <v>1602</v>
      </c>
      <c r="F137" s="2" t="s">
        <v>1597</v>
      </c>
      <c r="G137" s="25" t="s">
        <v>1596</v>
      </c>
      <c r="H137" s="25" t="str">
        <f t="shared" si="7"/>
        <v>#{msg['LBL_AC_EV_DT_FIM.label']}</v>
      </c>
      <c r="I137" s="25" t="str">
        <f t="shared" si="8"/>
        <v>#{msg['LBL_AC_EV_DT_FIM.hint']}</v>
      </c>
    </row>
    <row r="138" spans="1:9" x14ac:dyDescent="0.25">
      <c r="A138" s="2">
        <f t="shared" si="6"/>
        <v>132</v>
      </c>
      <c r="C138" s="2">
        <v>4</v>
      </c>
      <c r="D138" s="2" t="str">
        <f>VLOOKUP(C138,TB_FNX_TIPO_RESOURCE_BUNDLE!$A$7:$B$28,2,FALSE)</f>
        <v>Rótulo de entrada de texto</v>
      </c>
      <c r="E138" s="2" t="s">
        <v>1601</v>
      </c>
      <c r="F138" s="2" t="s">
        <v>1502</v>
      </c>
      <c r="G138" s="25" t="s">
        <v>1595</v>
      </c>
      <c r="H138" s="25" t="str">
        <f t="shared" si="7"/>
        <v>#{msg['LBL_AC_EV_DT_INICIO.label']}</v>
      </c>
      <c r="I138" s="25" t="str">
        <f t="shared" si="8"/>
        <v>#{msg['LBL_AC_EV_DT_INICIO.hint']}</v>
      </c>
    </row>
    <row r="139" spans="1:9" x14ac:dyDescent="0.25">
      <c r="A139" s="2">
        <f t="shared" si="6"/>
        <v>133</v>
      </c>
      <c r="C139" s="2">
        <v>4</v>
      </c>
      <c r="D139" s="2" t="str">
        <f>VLOOKUP(C139,TB_FNX_TIPO_RESOURCE_BUNDLE!$A$7:$B$28,2,FALSE)</f>
        <v>Rótulo de entrada de texto</v>
      </c>
      <c r="E139" s="2" t="s">
        <v>1611</v>
      </c>
      <c r="F139" s="2" t="s">
        <v>1594</v>
      </c>
      <c r="G139" s="25" t="s">
        <v>1594</v>
      </c>
      <c r="H139" s="25" t="str">
        <f t="shared" si="7"/>
        <v>#{msg['LBL_AC_EV_INFO_EVENTO_AJUDA.label']}</v>
      </c>
      <c r="I139" s="25" t="str">
        <f t="shared" si="8"/>
        <v>#{msg['LBL_AC_EV_INFO_EVENTO_AJUDA.hint']}</v>
      </c>
    </row>
    <row r="140" spans="1:9" x14ac:dyDescent="0.25">
      <c r="A140" s="2">
        <f t="shared" si="6"/>
        <v>134</v>
      </c>
      <c r="C140" s="2">
        <v>4</v>
      </c>
      <c r="D140" s="2" t="str">
        <f>VLOOKUP(C140,TB_FNX_TIPO_RESOURCE_BUNDLE!$A$7:$B$28,2,FALSE)</f>
        <v>Rótulo de entrada de texto</v>
      </c>
      <c r="E140" s="2" t="s">
        <v>1600</v>
      </c>
      <c r="F140" s="2" t="s">
        <v>1585</v>
      </c>
      <c r="G140" s="25" t="s">
        <v>1585</v>
      </c>
      <c r="H140" s="25" t="str">
        <f t="shared" si="7"/>
        <v>#{msg['LBL_AC_EV_NOME_OFICIAL.label']}</v>
      </c>
      <c r="I140" s="25" t="str">
        <f t="shared" si="8"/>
        <v>#{msg['LBL_AC_EV_NOME_OFICIAL.hint']}</v>
      </c>
    </row>
    <row r="141" spans="1:9" x14ac:dyDescent="0.25">
      <c r="A141" s="2">
        <f t="shared" si="6"/>
        <v>135</v>
      </c>
      <c r="C141" s="2">
        <v>4</v>
      </c>
      <c r="D141" s="2" t="str">
        <f>VLOOKUP(C141,TB_FNX_TIPO_RESOURCE_BUNDLE!$A$7:$B$28,2,FALSE)</f>
        <v>Rótulo de entrada de texto</v>
      </c>
      <c r="E141" s="2" t="s">
        <v>1605</v>
      </c>
      <c r="F141" s="2" t="s">
        <v>1588</v>
      </c>
      <c r="G141" s="25" t="s">
        <v>1598</v>
      </c>
      <c r="H141" s="25" t="str">
        <f t="shared" si="7"/>
        <v>#{msg['LBL_AC_EV_PAIS.label']}</v>
      </c>
      <c r="I141" s="25" t="str">
        <f t="shared" si="8"/>
        <v>#{msg['LBL_AC_EV_PAIS.hint']}</v>
      </c>
    </row>
    <row r="142" spans="1:9" x14ac:dyDescent="0.25">
      <c r="A142" s="2">
        <f t="shared" si="6"/>
        <v>136</v>
      </c>
      <c r="C142" s="2">
        <v>4</v>
      </c>
      <c r="D142" s="2" t="str">
        <f>VLOOKUP(C142,TB_FNX_TIPO_RESOURCE_BUNDLE!$A$7:$B$28,2,FALSE)</f>
        <v>Rótulo de entrada de texto</v>
      </c>
      <c r="E142" s="2" t="s">
        <v>1609</v>
      </c>
      <c r="F142" s="2" t="s">
        <v>1592</v>
      </c>
      <c r="G142" s="25" t="s">
        <v>1592</v>
      </c>
      <c r="H142" s="25" t="str">
        <f t="shared" si="7"/>
        <v>#{msg['LBL_AC_EV_PERFIL_VISITANTES.label']}</v>
      </c>
      <c r="I142" s="25" t="str">
        <f t="shared" si="8"/>
        <v>#{msg['LBL_AC_EV_PERFIL_VISITANTES.hint']}</v>
      </c>
    </row>
    <row r="143" spans="1:9" x14ac:dyDescent="0.25">
      <c r="A143" s="2">
        <f t="shared" si="6"/>
        <v>137</v>
      </c>
      <c r="C143" s="2">
        <v>4</v>
      </c>
      <c r="D143" s="2" t="str">
        <f>VLOOKUP(C143,TB_FNX_TIPO_RESOURCE_BUNDLE!$A$7:$B$28,2,FALSE)</f>
        <v>Rótulo de entrada de texto</v>
      </c>
      <c r="E143" s="2" t="s">
        <v>1608</v>
      </c>
      <c r="F143" s="2" t="s">
        <v>1591</v>
      </c>
      <c r="G143" s="25" t="s">
        <v>1591</v>
      </c>
      <c r="H143" s="25" t="str">
        <f t="shared" si="7"/>
        <v>#{msg['LBL_AC_EV_PROD_SERV_PROMOVIDOS.label']}</v>
      </c>
      <c r="I143" s="25" t="str">
        <f t="shared" si="8"/>
        <v>#{msg['LBL_AC_EV_PROD_SERV_PROMOVIDOS.hint']}</v>
      </c>
    </row>
    <row r="144" spans="1:9" x14ac:dyDescent="0.25">
      <c r="A144" s="2">
        <f t="shared" si="6"/>
        <v>138</v>
      </c>
      <c r="C144" s="2">
        <v>4</v>
      </c>
      <c r="D144" s="2" t="str">
        <f>VLOOKUP(C144,TB_FNX_TIPO_RESOURCE_BUNDLE!$A$7:$B$28,2,FALSE)</f>
        <v>Rótulo de entrada de texto</v>
      </c>
      <c r="E144" s="2" t="s">
        <v>1607</v>
      </c>
      <c r="F144" s="2" t="s">
        <v>1590</v>
      </c>
      <c r="G144" s="25" t="s">
        <v>1590</v>
      </c>
      <c r="H144" s="25" t="str">
        <f t="shared" si="7"/>
        <v>#{msg['LBL_AC_EV_SITE_EVENTO.label']}</v>
      </c>
      <c r="I144" s="25" t="str">
        <f t="shared" si="8"/>
        <v>#{msg['LBL_AC_EV_SITE_EVENTO.hint']}</v>
      </c>
    </row>
    <row r="145" spans="1:9" x14ac:dyDescent="0.25">
      <c r="A145" s="2">
        <f t="shared" si="6"/>
        <v>139</v>
      </c>
      <c r="C145" s="2">
        <v>4</v>
      </c>
      <c r="D145" s="2" t="str">
        <f>VLOOKUP(C145,TB_FNX_TIPO_RESOURCE_BUNDLE!$A$7:$B$28,2,FALSE)</f>
        <v>Rótulo de entrada de texto</v>
      </c>
      <c r="E145" s="2" t="s">
        <v>1604</v>
      </c>
      <c r="F145" s="2" t="s">
        <v>1587</v>
      </c>
      <c r="G145" s="25" t="s">
        <v>1587</v>
      </c>
      <c r="H145" s="25" t="str">
        <f t="shared" si="7"/>
        <v>#{msg['LBL_AC_EV_ULTIMA_ATUALIZACAO.label']}</v>
      </c>
      <c r="I145" s="25" t="str">
        <f t="shared" si="8"/>
        <v>#{msg['LBL_AC_EV_ULTIMA_ATUALIZACAO.hint']}</v>
      </c>
    </row>
    <row r="146" spans="1:9" x14ac:dyDescent="0.25">
      <c r="A146" s="2">
        <f t="shared" si="6"/>
        <v>140</v>
      </c>
      <c r="C146" s="2">
        <v>4</v>
      </c>
      <c r="D146" s="2" t="str">
        <f>VLOOKUP(C146,TB_FNX_TIPO_RESOURCE_BUNDLE!$A$7:$B$28,2,FALSE)</f>
        <v>Rótulo de entrada de texto</v>
      </c>
      <c r="E146" s="2" t="s">
        <v>1640</v>
      </c>
      <c r="F146" s="2" t="s">
        <v>1646</v>
      </c>
      <c r="G146" s="4" t="s">
        <v>1626</v>
      </c>
      <c r="H146" s="25" t="str">
        <f t="shared" si="7"/>
        <v>#{msg['LBL_AC_EVENTO_EDITAR.label']}</v>
      </c>
      <c r="I146" s="25" t="str">
        <f t="shared" si="8"/>
        <v>#{msg['LBL_AC_EVENTO_EDITAR.hint']}</v>
      </c>
    </row>
    <row r="147" spans="1:9" x14ac:dyDescent="0.25">
      <c r="A147" s="2">
        <f t="shared" si="6"/>
        <v>141</v>
      </c>
      <c r="C147" s="2">
        <v>4</v>
      </c>
      <c r="D147" s="2" t="str">
        <f>VLOOKUP(C147,TB_FNX_TIPO_RESOURCE_BUNDLE!$A$7:$B$28,2,FALSE)</f>
        <v>Rótulo de entrada de texto</v>
      </c>
      <c r="E147" s="2" t="s">
        <v>1641</v>
      </c>
      <c r="F147" s="2" t="s">
        <v>1642</v>
      </c>
      <c r="G147" s="4" t="s">
        <v>1624</v>
      </c>
      <c r="H147" s="25" t="str">
        <f t="shared" si="7"/>
        <v>#{msg['LBL_AC_EVENTO_VISUALIZAR.label']}</v>
      </c>
      <c r="I147" s="25" t="str">
        <f t="shared" si="8"/>
        <v>#{msg['LBL_AC_EVENTO_VISUALIZAR.hint']}</v>
      </c>
    </row>
    <row r="148" spans="1:9" x14ac:dyDescent="0.25">
      <c r="A148" s="2">
        <f t="shared" si="6"/>
        <v>142</v>
      </c>
      <c r="C148" s="2">
        <v>4</v>
      </c>
      <c r="D148" s="2" t="str">
        <f>VLOOKUP(C148,TB_FNX_TIPO_RESOURCE_BUNDLE!$A$7:$B$28,2,FALSE)</f>
        <v>Rótulo de entrada de texto</v>
      </c>
      <c r="E148" s="2" t="s">
        <v>1619</v>
      </c>
      <c r="F148" s="2" t="s">
        <v>1618</v>
      </c>
      <c r="H148" s="25" t="str">
        <f t="shared" si="7"/>
        <v>#{msg['LBL_AC_INFO_OBRIGATORIO.label']}</v>
      </c>
      <c r="I148" s="25" t="str">
        <f t="shared" si="8"/>
        <v>#{msg['LBL_AC_INFO_OBRIGATORIO.hint']}</v>
      </c>
    </row>
    <row r="149" spans="1:9" x14ac:dyDescent="0.25">
      <c r="A149" s="2">
        <f t="shared" si="6"/>
        <v>143</v>
      </c>
      <c r="C149" s="2">
        <v>4</v>
      </c>
      <c r="D149" s="2" t="str">
        <f>VLOOKUP(C149,TB_FNX_TIPO_RESOURCE_BUNDLE!$A$7:$B$28,2,FALSE)</f>
        <v>Rótulo de entrada de texto</v>
      </c>
      <c r="E149" s="2" t="s">
        <v>1620</v>
      </c>
      <c r="F149" s="2" t="s">
        <v>1617</v>
      </c>
      <c r="H149" s="25" t="str">
        <f t="shared" si="7"/>
        <v>#{msg['LBL_AC_INFO_OPCIONAL.label']}</v>
      </c>
      <c r="I149" s="25" t="str">
        <f t="shared" si="8"/>
        <v>#{msg['LBL_AC_INFO_OPCIONAL.hint']}</v>
      </c>
    </row>
    <row r="150" spans="1:9" x14ac:dyDescent="0.25">
      <c r="A150" s="2">
        <f t="shared" si="6"/>
        <v>144</v>
      </c>
      <c r="C150" s="2">
        <v>4</v>
      </c>
      <c r="D150" s="2" t="str">
        <f>VLOOKUP(C150,TB_FNX_TIPO_RESOURCE_BUNDLE!$A$7:$B$28,2,FALSE)</f>
        <v>Rótulo de entrada de texto</v>
      </c>
      <c r="E150" s="2" t="s">
        <v>1540</v>
      </c>
      <c r="F150" s="2" t="s">
        <v>921</v>
      </c>
      <c r="G150" s="4" t="s">
        <v>1508</v>
      </c>
      <c r="H150" s="25" t="str">
        <f t="shared" si="7"/>
        <v>#{msg['LBL_AC_NOME_ACAO.label']}</v>
      </c>
      <c r="I150" s="25" t="str">
        <f t="shared" si="8"/>
        <v>#{msg['LBL_AC_NOME_ACAO.hint']}</v>
      </c>
    </row>
    <row r="151" spans="1:9" x14ac:dyDescent="0.25">
      <c r="A151" s="2">
        <f t="shared" si="6"/>
        <v>145</v>
      </c>
      <c r="C151" s="2">
        <v>4</v>
      </c>
      <c r="D151" s="2" t="str">
        <f>VLOOKUP(C151,TB_FNX_TIPO_RESOURCE_BUNDLE!$A$7:$B$28,2,FALSE)</f>
        <v>Rótulo de entrada de texto</v>
      </c>
      <c r="E151" s="2" t="s">
        <v>1507</v>
      </c>
      <c r="F151" s="2" t="s">
        <v>1506</v>
      </c>
      <c r="G151" s="4" t="s">
        <v>1515</v>
      </c>
      <c r="H151" s="25" t="str">
        <f t="shared" si="7"/>
        <v>#{msg['LBL_AC_PERC_CONCLUSAO.label']}</v>
      </c>
      <c r="I151" s="25" t="str">
        <f t="shared" si="8"/>
        <v>#{msg['LBL_AC_PERC_CONCLUSAO.hint']}</v>
      </c>
    </row>
    <row r="152" spans="1:9" x14ac:dyDescent="0.25">
      <c r="A152" s="2">
        <f t="shared" si="6"/>
        <v>146</v>
      </c>
      <c r="C152" s="2">
        <v>4</v>
      </c>
      <c r="D152" s="2" t="str">
        <f>VLOOKUP(C152,TB_FNX_TIPO_RESOURCE_BUNDLE!$A$7:$B$28,2,FALSE)</f>
        <v>Rótulo de entrada de texto</v>
      </c>
      <c r="E152" s="2" t="s">
        <v>1542</v>
      </c>
      <c r="F152" s="2" t="s">
        <v>1501</v>
      </c>
      <c r="G152" s="4" t="s">
        <v>1510</v>
      </c>
      <c r="H152" s="25" t="str">
        <f t="shared" si="7"/>
        <v>#{msg['LBL_AC_RESPONSAVEL.label']}</v>
      </c>
      <c r="I152" s="25" t="str">
        <f t="shared" si="8"/>
        <v>#{msg['LBL_AC_RESPONSAVEL.hint']}</v>
      </c>
    </row>
    <row r="153" spans="1:9" x14ac:dyDescent="0.25">
      <c r="A153" s="2">
        <f t="shared" si="6"/>
        <v>147</v>
      </c>
      <c r="C153" s="2">
        <v>4</v>
      </c>
      <c r="D153" s="2" t="str">
        <f>VLOOKUP(C153,TB_FNX_TIPO_RESOURCE_BUNDLE!$A$7:$B$28,2,FALSE)</f>
        <v>Rótulo de entrada de texto</v>
      </c>
      <c r="E153" s="2" t="s">
        <v>1533</v>
      </c>
      <c r="F153" s="2" t="s">
        <v>1490</v>
      </c>
      <c r="G153" s="4" t="s">
        <v>1492</v>
      </c>
      <c r="H153" s="25" t="str">
        <f t="shared" si="7"/>
        <v>#{msg['LBL_AC_SEL_DTINICIO.label']}</v>
      </c>
      <c r="I153" s="25" t="str">
        <f t="shared" si="8"/>
        <v>#{msg['LBL_AC_SEL_DTINICIO.hint']}</v>
      </c>
    </row>
    <row r="154" spans="1:9" x14ac:dyDescent="0.25">
      <c r="A154" s="2">
        <f t="shared" si="6"/>
        <v>148</v>
      </c>
      <c r="C154" s="2">
        <v>4</v>
      </c>
      <c r="D154" s="2" t="str">
        <f>VLOOKUP(C154,TB_FNX_TIPO_RESOURCE_BUNDLE!$A$7:$B$28,2,FALSE)</f>
        <v>Rótulo de entrada de texto</v>
      </c>
      <c r="E154" s="2" t="s">
        <v>1534</v>
      </c>
      <c r="F154" s="2" t="s">
        <v>1493</v>
      </c>
      <c r="G154" s="4" t="s">
        <v>1491</v>
      </c>
      <c r="H154" s="25" t="str">
        <f t="shared" si="7"/>
        <v>#{msg['LBL_AC_SEL_DTTERMINO.label']}</v>
      </c>
      <c r="I154" s="25" t="str">
        <f t="shared" si="8"/>
        <v>#{msg['LBL_AC_SEL_DTTERMINO.hint']}</v>
      </c>
    </row>
    <row r="155" spans="1:9" x14ac:dyDescent="0.25">
      <c r="A155" s="2">
        <f t="shared" si="6"/>
        <v>149</v>
      </c>
      <c r="C155" s="2">
        <v>4</v>
      </c>
      <c r="D155" s="2" t="str">
        <f>VLOOKUP(C155,TB_FNX_TIPO_RESOURCE_BUNDLE!$A$7:$B$28,2,FALSE)</f>
        <v>Rótulo de entrada de texto</v>
      </c>
      <c r="E155" s="2" t="s">
        <v>1532</v>
      </c>
      <c r="F155" s="2" t="s">
        <v>1488</v>
      </c>
      <c r="G155" s="4" t="s">
        <v>1489</v>
      </c>
      <c r="H155" s="25" t="str">
        <f t="shared" si="7"/>
        <v>#{msg['LBL_AC_SEL_NOME.label']}</v>
      </c>
      <c r="I155" s="25" t="str">
        <f t="shared" si="8"/>
        <v>#{msg['LBL_AC_SEL_NOME.hint']}</v>
      </c>
    </row>
    <row r="156" spans="1:9" x14ac:dyDescent="0.25">
      <c r="A156" s="2">
        <f t="shared" si="6"/>
        <v>150</v>
      </c>
      <c r="C156" s="2">
        <v>4</v>
      </c>
      <c r="D156" s="2" t="str">
        <f>VLOOKUP(C156,TB_FNX_TIPO_RESOURCE_BUNDLE!$A$7:$B$28,2,FALSE)</f>
        <v>Rótulo de entrada de texto</v>
      </c>
      <c r="E156" s="2" t="s">
        <v>1530</v>
      </c>
      <c r="F156" s="2" t="s">
        <v>1484</v>
      </c>
      <c r="G156" s="4" t="s">
        <v>1485</v>
      </c>
      <c r="H156" s="25" t="str">
        <f t="shared" si="7"/>
        <v>#{msg['LBL_AC_SEL_STATUS.label']}</v>
      </c>
      <c r="I156" s="25" t="str">
        <f t="shared" si="8"/>
        <v>#{msg['LBL_AC_SEL_STATUS.hint']}</v>
      </c>
    </row>
    <row r="157" spans="1:9" x14ac:dyDescent="0.25">
      <c r="A157" s="2">
        <f t="shared" si="6"/>
        <v>151</v>
      </c>
      <c r="C157" s="2">
        <v>4</v>
      </c>
      <c r="D157" s="2" t="str">
        <f>VLOOKUP(C157,TB_FNX_TIPO_RESOURCE_BUNDLE!$A$7:$B$28,2,FALSE)</f>
        <v>Rótulo de entrada de texto</v>
      </c>
      <c r="E157" s="2" t="s">
        <v>1531</v>
      </c>
      <c r="F157" s="2" t="s">
        <v>1486</v>
      </c>
      <c r="G157" s="26" t="s">
        <v>1487</v>
      </c>
      <c r="H157" s="25" t="str">
        <f t="shared" si="7"/>
        <v>#{msg['LBL_AC_SEL_TIPO.label']}</v>
      </c>
      <c r="I157" s="25" t="str">
        <f t="shared" si="8"/>
        <v>#{msg['LBL_AC_SEL_TIPO.hint']}</v>
      </c>
    </row>
    <row r="158" spans="1:9" x14ac:dyDescent="0.25">
      <c r="A158" s="2">
        <f t="shared" si="6"/>
        <v>152</v>
      </c>
      <c r="C158" s="2">
        <v>4</v>
      </c>
      <c r="D158" s="2" t="str">
        <f>VLOOKUP(C158,TB_FNX_TIPO_RESOURCE_BUNDLE!$A$7:$B$28,2,FALSE)</f>
        <v>Rótulo de entrada de texto</v>
      </c>
      <c r="E158" s="2" t="s">
        <v>1546</v>
      </c>
      <c r="F158" s="2" t="s">
        <v>1505</v>
      </c>
      <c r="G158" s="4" t="s">
        <v>1513</v>
      </c>
      <c r="H158" s="25" t="str">
        <f t="shared" si="7"/>
        <v>#{msg['LBL_AC_SEM_CUSTO.label']}</v>
      </c>
      <c r="I158" s="25" t="str">
        <f t="shared" si="8"/>
        <v>#{msg['LBL_AC_SEM_CUSTO.hint']}</v>
      </c>
    </row>
    <row r="159" spans="1:9" x14ac:dyDescent="0.25">
      <c r="A159" s="2">
        <f t="shared" si="6"/>
        <v>153</v>
      </c>
      <c r="C159" s="2">
        <v>4</v>
      </c>
      <c r="D159" s="2" t="str">
        <f>VLOOKUP(C159,TB_FNX_TIPO_RESOURCE_BUNDLE!$A$7:$B$28,2,FALSE)</f>
        <v>Rótulo de entrada de texto</v>
      </c>
      <c r="E159" s="2" t="s">
        <v>1547</v>
      </c>
      <c r="F159" s="2" t="s">
        <v>617</v>
      </c>
      <c r="G159" s="4" t="s">
        <v>1514</v>
      </c>
      <c r="H159" s="25" t="str">
        <f t="shared" si="7"/>
        <v>#{msg['LBL_AC_STATUS.label']}</v>
      </c>
      <c r="I159" s="25" t="str">
        <f t="shared" si="8"/>
        <v>#{msg['LBL_AC_STATUS.hint']}</v>
      </c>
    </row>
    <row r="160" spans="1:9" x14ac:dyDescent="0.25">
      <c r="A160" s="2">
        <f t="shared" si="6"/>
        <v>154</v>
      </c>
      <c r="C160" s="2">
        <v>4</v>
      </c>
      <c r="D160" s="2" t="str">
        <f>VLOOKUP(C160,TB_FNX_TIPO_RESOURCE_BUNDLE!$A$7:$B$28,2,FALSE)</f>
        <v>Rótulo de entrada de texto</v>
      </c>
      <c r="E160" s="2" t="s">
        <v>1541</v>
      </c>
      <c r="F160" s="2" t="s">
        <v>1486</v>
      </c>
      <c r="G160" s="4" t="s">
        <v>1509</v>
      </c>
      <c r="H160" s="25" t="str">
        <f t="shared" si="7"/>
        <v>#{msg['LBL_AC_TIPO_ACAO.label']}</v>
      </c>
      <c r="I160" s="25" t="str">
        <f t="shared" si="8"/>
        <v>#{msg['LBL_AC_TIPO_ACAO.hint']}</v>
      </c>
    </row>
    <row r="161" spans="1:9" x14ac:dyDescent="0.25">
      <c r="A161" s="2">
        <f t="shared" si="6"/>
        <v>155</v>
      </c>
      <c r="C161" s="2">
        <v>4</v>
      </c>
      <c r="D161" s="2" t="str">
        <f>VLOOKUP(C161,TB_FNX_TIPO_RESOURCE_BUNDLE!$A$7:$B$28,2,FALSE)</f>
        <v>Rótulo de entrada de texto</v>
      </c>
      <c r="E161" s="2" t="s">
        <v>1630</v>
      </c>
      <c r="F161" s="2" t="s">
        <v>1628</v>
      </c>
      <c r="H161" s="25" t="str">
        <f t="shared" si="7"/>
        <v>#{msg['LBL_AC_VISUALIZAR.label']}</v>
      </c>
      <c r="I161" s="25" t="str">
        <f t="shared" si="8"/>
        <v>#{msg['LBL_AC_VISUALIZAR.hint']}</v>
      </c>
    </row>
    <row r="162" spans="1:9" x14ac:dyDescent="0.25">
      <c r="A162" s="2">
        <f t="shared" si="6"/>
        <v>156</v>
      </c>
      <c r="C162" s="2">
        <v>4</v>
      </c>
      <c r="D162" s="2" t="str">
        <f>VLOOKUP(C162,TB_FNX_TIPO_RESOURCE_BUNDLE!$A$7:$B$28,2,FALSE)</f>
        <v>Rótulo de entrada de texto</v>
      </c>
      <c r="E162" s="2" t="s">
        <v>342</v>
      </c>
      <c r="F162" s="2" t="s">
        <v>344</v>
      </c>
      <c r="G162" s="4" t="s">
        <v>744</v>
      </c>
      <c r="H162" s="25" t="str">
        <f t="shared" si="7"/>
        <v>#{msg['LBL_ADICIONAR_MEMBRO_EQUIPE.label']}</v>
      </c>
      <c r="I162" s="25" t="str">
        <f t="shared" si="8"/>
        <v>#{msg['LBL_ADICIONAR_MEMBRO_EQUIPE.hint']}</v>
      </c>
    </row>
    <row r="163" spans="1:9" x14ac:dyDescent="0.25">
      <c r="A163" s="2">
        <f t="shared" si="6"/>
        <v>157</v>
      </c>
      <c r="C163" s="2">
        <v>4</v>
      </c>
      <c r="D163" s="2" t="str">
        <f>VLOOKUP(C163,TB_FNX_TIPO_RESOURCE_BUNDLE!$A$7:$B$28,2,FALSE)</f>
        <v>Rótulo de entrada de texto</v>
      </c>
      <c r="E163" s="2" t="s">
        <v>1367</v>
      </c>
      <c r="F163" s="2" t="s">
        <v>1965</v>
      </c>
      <c r="H163" s="25" t="str">
        <f t="shared" si="7"/>
        <v>#{msg['LBL_ANEXOS_PERMITIDOS.label']}</v>
      </c>
      <c r="I163" s="25" t="str">
        <f t="shared" si="8"/>
        <v>#{msg['LBL_ANEXOS_PERMITIDOS.hint']}</v>
      </c>
    </row>
    <row r="164" spans="1:9" x14ac:dyDescent="0.25">
      <c r="A164" s="2">
        <f t="shared" si="6"/>
        <v>158</v>
      </c>
      <c r="C164" s="2">
        <v>1</v>
      </c>
      <c r="D164" s="2" t="str">
        <f>VLOOKUP(C164,TB_FNX_TIPO_RESOURCE_BUNDLE!$A$7:$B$28,2,FALSE)</f>
        <v>Botão</v>
      </c>
      <c r="E164" s="2" t="s">
        <v>286</v>
      </c>
      <c r="F164" s="2" t="s">
        <v>297</v>
      </c>
      <c r="G164" s="4" t="s">
        <v>308</v>
      </c>
      <c r="H164" s="25" t="str">
        <f t="shared" si="7"/>
        <v>#{msg['LBL_ASSOCIAR_PERFIS.label']}</v>
      </c>
      <c r="I164" s="25" t="str">
        <f t="shared" si="8"/>
        <v>#{msg['LBL_ASSOCIAR_PERFIS.hint']}</v>
      </c>
    </row>
    <row r="165" spans="1:9" x14ac:dyDescent="0.25">
      <c r="A165" s="2">
        <f t="shared" si="6"/>
        <v>159</v>
      </c>
      <c r="C165" s="2">
        <v>4</v>
      </c>
      <c r="D165" s="2" t="str">
        <f>VLOOKUP(C165,TB_FNX_TIPO_RESOURCE_BUNDLE!$A$7:$B$28,2,FALSE)</f>
        <v>Rótulo de entrada de texto</v>
      </c>
      <c r="E165" s="2" t="s">
        <v>255</v>
      </c>
      <c r="F165" s="2" t="s">
        <v>256</v>
      </c>
      <c r="G165" s="4" t="s">
        <v>745</v>
      </c>
      <c r="H165" s="25" t="str">
        <f t="shared" si="7"/>
        <v>#{msg['LBL_ASSOCIAR_RECURSOS.label']}</v>
      </c>
      <c r="I165" s="25" t="str">
        <f t="shared" si="8"/>
        <v>#{msg['LBL_ASSOCIAR_RECURSOS.hint']}</v>
      </c>
    </row>
    <row r="166" spans="1:9" x14ac:dyDescent="0.25">
      <c r="A166" s="2">
        <f t="shared" si="6"/>
        <v>160</v>
      </c>
      <c r="C166" s="2">
        <v>4</v>
      </c>
      <c r="D166" s="2" t="str">
        <f>VLOOKUP(C166,TB_FNX_TIPO_RESOURCE_BUNDLE!$A$7:$B$28,2,FALSE)</f>
        <v>Rótulo de entrada de texto</v>
      </c>
      <c r="E166" s="2" t="s">
        <v>466</v>
      </c>
      <c r="F166" s="2" t="s">
        <v>467</v>
      </c>
      <c r="G166" s="4" t="s">
        <v>788</v>
      </c>
      <c r="H166" s="25" t="str">
        <f t="shared" si="7"/>
        <v>#{msg['LBL_CODIGO.label']}</v>
      </c>
      <c r="I166" s="25" t="str">
        <f t="shared" si="8"/>
        <v>#{msg['LBL_CODIGO.hint']}</v>
      </c>
    </row>
    <row r="167" spans="1:9" x14ac:dyDescent="0.25">
      <c r="A167" s="2">
        <f t="shared" si="6"/>
        <v>161</v>
      </c>
      <c r="C167" s="2">
        <v>4</v>
      </c>
      <c r="D167" s="2" t="str">
        <f>VLOOKUP(C167,TB_FNX_TIPO_RESOURCE_BUNDLE!$A$7:$B$28,2,FALSE)</f>
        <v>Rótulo de entrada de texto</v>
      </c>
      <c r="E167" s="2" t="s">
        <v>1416</v>
      </c>
      <c r="F167" s="2" t="s">
        <v>1404</v>
      </c>
      <c r="G167" s="4" t="s">
        <v>1404</v>
      </c>
      <c r="H167" s="25" t="str">
        <f t="shared" si="7"/>
        <v>#{msg['LBL_CONCLUIR_FINANC.label']}</v>
      </c>
      <c r="I167" s="25" t="str">
        <f t="shared" si="8"/>
        <v>#{msg['LBL_CONCLUIR_FINANC.hint']}</v>
      </c>
    </row>
    <row r="168" spans="1:9" x14ac:dyDescent="0.25">
      <c r="A168" s="2">
        <f t="shared" si="6"/>
        <v>162</v>
      </c>
      <c r="C168" s="2">
        <v>4</v>
      </c>
      <c r="D168" s="2" t="str">
        <f>VLOOKUP(C168,TB_FNX_TIPO_RESOURCE_BUNDLE!$A$7:$B$28,2,FALSE)</f>
        <v>Rótulo de entrada de texto</v>
      </c>
      <c r="E168" s="2" t="s">
        <v>463</v>
      </c>
      <c r="F168" s="2" t="s">
        <v>25</v>
      </c>
      <c r="G168" s="4" t="s">
        <v>786</v>
      </c>
      <c r="H168" s="25" t="str">
        <f t="shared" si="7"/>
        <v>#{msg['LBL_CONFIRMACAO.label']}</v>
      </c>
      <c r="I168" s="25" t="str">
        <f t="shared" si="8"/>
        <v>#{msg['LBL_CONFIRMACAO.hint']}</v>
      </c>
    </row>
    <row r="169" spans="1:9" x14ac:dyDescent="0.25">
      <c r="A169" s="2">
        <f t="shared" si="6"/>
        <v>163</v>
      </c>
      <c r="C169" s="2">
        <v>4</v>
      </c>
      <c r="D169" s="2" t="str">
        <f>VLOOKUP(C169,TB_FNX_TIPO_RESOURCE_BUNDLE!$A$7:$B$28,2,FALSE)</f>
        <v>Rótulo de entrada de texto</v>
      </c>
      <c r="E169" s="2" t="s">
        <v>468</v>
      </c>
      <c r="F169" s="2" t="s">
        <v>469</v>
      </c>
      <c r="G169" s="4" t="s">
        <v>789</v>
      </c>
      <c r="H169" s="25" t="str">
        <f t="shared" si="7"/>
        <v>#{msg['LBL_DATA_CADASTRO.label']}</v>
      </c>
      <c r="I169" s="25" t="str">
        <f t="shared" si="8"/>
        <v>#{msg['LBL_DATA_CADASTRO.hint']}</v>
      </c>
    </row>
    <row r="170" spans="1:9" ht="45" x14ac:dyDescent="0.25">
      <c r="A170" s="2">
        <f t="shared" si="6"/>
        <v>164</v>
      </c>
      <c r="C170" s="2">
        <v>4</v>
      </c>
      <c r="D170" s="2" t="str">
        <f>VLOOKUP(C170,TB_FNX_TIPO_RESOURCE_BUNDLE!$A$7:$B$28,2,FALSE)</f>
        <v>Rótulo de entrada de texto</v>
      </c>
      <c r="E170" s="2" t="s">
        <v>621</v>
      </c>
      <c r="F170" s="2" t="s">
        <v>622</v>
      </c>
      <c r="G170" s="4" t="s">
        <v>1417</v>
      </c>
      <c r="H170" s="25" t="str">
        <f t="shared" si="7"/>
        <v>#{msg['LBL_DIVERGENCIA_VALOR.label']}</v>
      </c>
      <c r="I170" s="25" t="str">
        <f t="shared" si="8"/>
        <v>#{msg['LBL_DIVERGENCIA_VALOR.hint']}</v>
      </c>
    </row>
    <row r="171" spans="1:9" x14ac:dyDescent="0.25">
      <c r="A171" s="2">
        <f t="shared" si="6"/>
        <v>165</v>
      </c>
      <c r="C171" s="2">
        <v>4</v>
      </c>
      <c r="D171" s="2" t="str">
        <f>VLOOKUP(C171,TB_FNX_TIPO_RESOURCE_BUNDLE!$A$7:$B$28,2,FALSE)</f>
        <v>Rótulo de entrada de texto</v>
      </c>
      <c r="E171" s="2" t="s">
        <v>343</v>
      </c>
      <c r="F171" s="2" t="s">
        <v>345</v>
      </c>
      <c r="G171" s="4" t="s">
        <v>746</v>
      </c>
      <c r="H171" s="25" t="str">
        <f t="shared" si="7"/>
        <v>#{msg['LBL_EDITAR_MEMBRO_EQUIPE.label']}</v>
      </c>
      <c r="I171" s="25" t="str">
        <f t="shared" si="8"/>
        <v>#{msg['LBL_EDITAR_MEMBRO_EQUIPE.hint']}</v>
      </c>
    </row>
    <row r="172" spans="1:9" x14ac:dyDescent="0.25">
      <c r="A172" s="2">
        <f t="shared" si="6"/>
        <v>166</v>
      </c>
      <c r="C172" s="2">
        <v>4</v>
      </c>
      <c r="D172" s="2" t="str">
        <f>VLOOKUP(C172,TB_FNX_TIPO_RESOURCE_BUNDLE!$A$7:$B$28,2,FALSE)</f>
        <v>Rótulo de entrada de texto</v>
      </c>
      <c r="E172" s="2" t="s">
        <v>464</v>
      </c>
      <c r="F172" s="2" t="s">
        <v>465</v>
      </c>
      <c r="G172" s="4" t="s">
        <v>787</v>
      </c>
      <c r="H172" s="25" t="str">
        <f t="shared" si="7"/>
        <v>#{msg['LBL_EDITAR_RPM.label']}</v>
      </c>
      <c r="I172" s="25" t="str">
        <f t="shared" si="8"/>
        <v>#{msg['LBL_EDITAR_RPM.hint']}</v>
      </c>
    </row>
    <row r="173" spans="1:9" x14ac:dyDescent="0.25">
      <c r="A173" s="2">
        <f t="shared" si="6"/>
        <v>167</v>
      </c>
      <c r="C173" s="2">
        <v>4</v>
      </c>
      <c r="D173" s="2" t="str">
        <f>VLOOKUP(C173,TB_FNX_TIPO_RESOURCE_BUNDLE!$A$7:$B$28,2,FALSE)</f>
        <v>Rótulo de entrada de texto</v>
      </c>
      <c r="E173" s="2" t="s">
        <v>250</v>
      </c>
      <c r="F173" s="2" t="s">
        <v>254</v>
      </c>
      <c r="G173" s="26" t="s">
        <v>747</v>
      </c>
      <c r="H173" s="25" t="str">
        <f t="shared" si="7"/>
        <v>#{msg['LBL_EQUIPE_PROJETO.label']}</v>
      </c>
      <c r="I173" s="25" t="str">
        <f t="shared" si="8"/>
        <v>#{msg['LBL_EQUIPE_PROJETO.hint']}</v>
      </c>
    </row>
    <row r="174" spans="1:9" x14ac:dyDescent="0.25">
      <c r="A174" s="2">
        <f t="shared" si="6"/>
        <v>168</v>
      </c>
      <c r="C174" s="2">
        <v>4</v>
      </c>
      <c r="D174" s="2" t="str">
        <f>VLOOKUP(C174,TB_FNX_TIPO_RESOURCE_BUNDLE!$A$7:$B$28,2,FALSE)</f>
        <v>Rótulo de entrada de texto</v>
      </c>
      <c r="E174" s="25" t="s">
        <v>249</v>
      </c>
      <c r="F174" s="2" t="s">
        <v>185</v>
      </c>
      <c r="G174" s="4" t="s">
        <v>748</v>
      </c>
      <c r="H174" s="25" t="str">
        <f t="shared" si="7"/>
        <v>#{msg['LBL_FILTRAR.label']}</v>
      </c>
      <c r="I174" s="25" t="str">
        <f t="shared" si="8"/>
        <v>#{msg['LBL_FILTRAR.hint']}</v>
      </c>
    </row>
    <row r="175" spans="1:9" x14ac:dyDescent="0.25">
      <c r="A175" s="2">
        <f t="shared" si="6"/>
        <v>169</v>
      </c>
      <c r="C175" s="2">
        <v>4</v>
      </c>
      <c r="D175" s="2" t="str">
        <f>VLOOKUP(C175,TB_FNX_TIPO_RESOURCE_BUNDLE!$A$7:$B$28,2,FALSE)</f>
        <v>Rótulo de entrada de texto</v>
      </c>
      <c r="E175" s="2" t="s">
        <v>258</v>
      </c>
      <c r="F175" s="2" t="s">
        <v>262</v>
      </c>
      <c r="G175" s="26" t="s">
        <v>749</v>
      </c>
      <c r="H175" s="25" t="str">
        <f t="shared" si="7"/>
        <v>#{msg['LBL_GERENTE.label']}</v>
      </c>
      <c r="I175" s="25" t="str">
        <f t="shared" si="8"/>
        <v>#{msg['LBL_GERENTE.hint']}</v>
      </c>
    </row>
    <row r="176" spans="1:9" x14ac:dyDescent="0.25">
      <c r="A176" s="2">
        <f t="shared" si="6"/>
        <v>170</v>
      </c>
      <c r="C176" s="2">
        <v>4</v>
      </c>
      <c r="D176" s="2" t="str">
        <f>VLOOKUP(C176,TB_FNX_TIPO_RESOURCE_BUNDLE!$A$7:$B$28,2,FALSE)</f>
        <v>Rótulo de entrada de texto</v>
      </c>
      <c r="E176" s="2" t="s">
        <v>259</v>
      </c>
      <c r="F176" s="2" t="s">
        <v>263</v>
      </c>
      <c r="G176" s="26" t="s">
        <v>750</v>
      </c>
      <c r="H176" s="25" t="str">
        <f t="shared" si="7"/>
        <v>#{msg['LBL_GERENTE_SUBSTITUTO.label']}</v>
      </c>
      <c r="I176" s="25" t="str">
        <f t="shared" si="8"/>
        <v>#{msg['LBL_GERENTE_SUBSTITUTO.hint']}</v>
      </c>
    </row>
    <row r="177" spans="1:9" x14ac:dyDescent="0.25">
      <c r="A177" s="2">
        <f t="shared" si="6"/>
        <v>171</v>
      </c>
      <c r="C177" s="2">
        <v>4</v>
      </c>
      <c r="D177" s="2" t="str">
        <f>VLOOKUP(C177,TB_FNX_TIPO_RESOURCE_BUNDLE!$A$7:$B$28,2,FALSE)</f>
        <v>Rótulo de entrada de texto</v>
      </c>
      <c r="E177" s="2" t="s">
        <v>257</v>
      </c>
      <c r="F177" s="2" t="s">
        <v>261</v>
      </c>
      <c r="G177" s="26" t="s">
        <v>751</v>
      </c>
      <c r="H177" s="25" t="str">
        <f t="shared" si="7"/>
        <v>#{msg['LBL_GESTOR.label']}</v>
      </c>
      <c r="I177" s="25" t="str">
        <f t="shared" si="8"/>
        <v>#{msg['LBL_GESTOR.hint']}</v>
      </c>
    </row>
    <row r="178" spans="1:9" x14ac:dyDescent="0.25">
      <c r="A178" s="2">
        <f t="shared" si="6"/>
        <v>172</v>
      </c>
      <c r="C178" s="2">
        <v>4</v>
      </c>
      <c r="D178" s="2" t="str">
        <f>VLOOKUP(C178,TB_FNX_TIPO_RESOURCE_BUNDLE!$A$7:$B$28,2,FALSE)</f>
        <v>Rótulo de entrada de texto</v>
      </c>
      <c r="E178" s="2" t="s">
        <v>839</v>
      </c>
      <c r="F178" s="2" t="s">
        <v>840</v>
      </c>
      <c r="G178" s="26" t="s">
        <v>841</v>
      </c>
      <c r="H178" s="25" t="str">
        <f t="shared" si="7"/>
        <v>#{msg['LBL_GST_CAD_DESEMBOLSO.label']}</v>
      </c>
      <c r="I178" s="25" t="str">
        <f t="shared" si="8"/>
        <v>#{msg['LBL_GST_CAD_DESEMBOLSO.hint']}</v>
      </c>
    </row>
    <row r="179" spans="1:9" x14ac:dyDescent="0.25">
      <c r="A179" s="2">
        <f t="shared" si="6"/>
        <v>173</v>
      </c>
      <c r="B179" s="25"/>
      <c r="C179" s="25">
        <v>4</v>
      </c>
      <c r="D179" s="25" t="str">
        <f>VLOOKUP(C179,TB_FNX_TIPO_RESOURCE_BUNDLE!$A$7:$B$28,2,FALSE)</f>
        <v>Rótulo de entrada de texto</v>
      </c>
      <c r="E179" s="25" t="s">
        <v>618</v>
      </c>
      <c r="F179" s="25" t="s">
        <v>889</v>
      </c>
      <c r="G179" s="26" t="s">
        <v>890</v>
      </c>
      <c r="H179" s="25" t="str">
        <f t="shared" si="7"/>
        <v>#{msg['LBL_GST_FIN.label']}</v>
      </c>
      <c r="I179" s="25" t="str">
        <f t="shared" si="8"/>
        <v>#{msg['LBL_GST_FIN.hint']}</v>
      </c>
    </row>
    <row r="180" spans="1:9" ht="15" customHeight="1" x14ac:dyDescent="0.25">
      <c r="A180" s="2">
        <f t="shared" si="6"/>
        <v>174</v>
      </c>
      <c r="C180" s="2">
        <v>4</v>
      </c>
      <c r="D180" s="2" t="str">
        <f>VLOOKUP(C180,TB_FNX_TIPO_RESOURCE_BUNDLE!$A$7:$B$28,2,FALSE)</f>
        <v>Rótulo de entrada de texto</v>
      </c>
      <c r="E180" s="2" t="s">
        <v>578</v>
      </c>
      <c r="F180" s="2" t="s">
        <v>598</v>
      </c>
      <c r="G180" s="26" t="s">
        <v>805</v>
      </c>
      <c r="H180" s="25" t="str">
        <f t="shared" si="7"/>
        <v>#{msg['LBL_GST_FIN_CONV_TOTAL.label']}</v>
      </c>
      <c r="I180" s="25" t="str">
        <f t="shared" si="8"/>
        <v>#{msg['LBL_GST_FIN_CONV_TOTAL.hint']}</v>
      </c>
    </row>
    <row r="181" spans="1:9" ht="15" customHeight="1" x14ac:dyDescent="0.25">
      <c r="A181" s="2">
        <f t="shared" si="6"/>
        <v>175</v>
      </c>
      <c r="C181" s="2">
        <v>4</v>
      </c>
      <c r="D181" s="2" t="str">
        <f>VLOOKUP(C181,TB_FNX_TIPO_RESOURCE_BUNDLE!$A$7:$B$28,2,FALSE)</f>
        <v>Rótulo de entrada de texto</v>
      </c>
      <c r="E181" s="2" t="s">
        <v>619</v>
      </c>
      <c r="F181" s="2" t="s">
        <v>620</v>
      </c>
      <c r="G181" s="4" t="s">
        <v>823</v>
      </c>
      <c r="H181" s="25" t="str">
        <f t="shared" si="7"/>
        <v>#{msg['LBL_GST_FIN_COTACAO.label']}</v>
      </c>
      <c r="I181" s="25" t="str">
        <f t="shared" si="8"/>
        <v>#{msg['LBL_GST_FIN_COTACAO.hint']}</v>
      </c>
    </row>
    <row r="182" spans="1:9" ht="15" customHeight="1" x14ac:dyDescent="0.25">
      <c r="A182" s="2">
        <f t="shared" si="6"/>
        <v>176</v>
      </c>
      <c r="C182" s="2">
        <v>4</v>
      </c>
      <c r="D182" s="2" t="str">
        <f>VLOOKUP(C182,TB_FNX_TIPO_RESOURCE_BUNDLE!$A$7:$B$28,2,FALSE)</f>
        <v>Rótulo de entrada de texto</v>
      </c>
      <c r="E182" s="2" t="s">
        <v>587</v>
      </c>
      <c r="F182" s="2" t="s">
        <v>607</v>
      </c>
      <c r="G182" s="4" t="s">
        <v>814</v>
      </c>
      <c r="H182" s="25" t="str">
        <f t="shared" si="7"/>
        <v>#{msg['LBL_GST_FIN_DATA_PARCELA.label']}</v>
      </c>
      <c r="I182" s="25" t="str">
        <f t="shared" si="8"/>
        <v>#{msg['LBL_GST_FIN_DATA_PARCELA.hint']}</v>
      </c>
    </row>
    <row r="183" spans="1:9" ht="15" customHeight="1" x14ac:dyDescent="0.25">
      <c r="A183" s="2">
        <f t="shared" si="6"/>
        <v>177</v>
      </c>
      <c r="C183" s="2">
        <v>4</v>
      </c>
      <c r="D183" s="2" t="str">
        <f>VLOOKUP(C183,TB_FNX_TIPO_RESOURCE_BUNDLE!$A$7:$B$28,2,FALSE)</f>
        <v>Rótulo de entrada de texto</v>
      </c>
      <c r="E183" s="2" t="s">
        <v>595</v>
      </c>
      <c r="F183" s="2" t="s">
        <v>615</v>
      </c>
      <c r="G183" s="26" t="s">
        <v>820</v>
      </c>
      <c r="H183" s="25" t="str">
        <f t="shared" si="7"/>
        <v>#{msg['LBL_GST_FIN_DATA_PGTO.label']}</v>
      </c>
      <c r="I183" s="25" t="str">
        <f t="shared" si="8"/>
        <v>#{msg['LBL_GST_FIN_DATA_PGTO.hint']}</v>
      </c>
    </row>
    <row r="184" spans="1:9" ht="15" customHeight="1" x14ac:dyDescent="0.25">
      <c r="A184" s="2">
        <f t="shared" si="6"/>
        <v>178</v>
      </c>
      <c r="C184" s="2">
        <v>4</v>
      </c>
      <c r="D184" s="2" t="str">
        <f>VLOOKUP(C184,TB_FNX_TIPO_RESOURCE_BUNDLE!$A$7:$B$28,2,FALSE)</f>
        <v>Rótulo de entrada de texto</v>
      </c>
      <c r="E184" s="2" t="s">
        <v>591</v>
      </c>
      <c r="F184" s="2" t="s">
        <v>611</v>
      </c>
      <c r="G184" s="4" t="s">
        <v>817</v>
      </c>
      <c r="H184" s="25" t="str">
        <f t="shared" si="7"/>
        <v>#{msg['LBL_GST_FIN_DATA_PREVISTA.label']}</v>
      </c>
      <c r="I184" s="25" t="str">
        <f t="shared" si="8"/>
        <v>#{msg['LBL_GST_FIN_DATA_PREVISTA.hint']}</v>
      </c>
    </row>
    <row r="185" spans="1:9" ht="15" customHeight="1" x14ac:dyDescent="0.25">
      <c r="A185" s="2">
        <f t="shared" si="6"/>
        <v>179</v>
      </c>
      <c r="C185" s="2">
        <v>4</v>
      </c>
      <c r="D185" s="2" t="str">
        <f>VLOOKUP(C185,TB_FNX_TIPO_RESOURCE_BUNDLE!$A$7:$B$28,2,FALSE)</f>
        <v>Rótulo de entrada de texto</v>
      </c>
      <c r="E185" s="2" t="s">
        <v>589</v>
      </c>
      <c r="F185" s="2" t="s">
        <v>609</v>
      </c>
      <c r="G185" s="4" t="s">
        <v>815</v>
      </c>
      <c r="H185" s="25" t="str">
        <f t="shared" si="7"/>
        <v>#{msg['LBL_GST_FIN_DESEMBOLSOS.label']}</v>
      </c>
      <c r="I185" s="25" t="str">
        <f t="shared" si="8"/>
        <v>#{msg['LBL_GST_FIN_DESEMBOLSOS.hint']}</v>
      </c>
    </row>
    <row r="186" spans="1:9" x14ac:dyDescent="0.25">
      <c r="A186" s="2">
        <f t="shared" si="6"/>
        <v>180</v>
      </c>
      <c r="C186" s="2">
        <v>4</v>
      </c>
      <c r="D186" s="2" t="str">
        <f>VLOOKUP(C186,TB_FNX_TIPO_RESOURCE_BUNDLE!$A$7:$B$28,2,FALSE)</f>
        <v>Rótulo de entrada de texto</v>
      </c>
      <c r="E186" s="2" t="s">
        <v>592</v>
      </c>
      <c r="F186" s="2" t="s">
        <v>612</v>
      </c>
      <c r="G186" s="26" t="s">
        <v>818</v>
      </c>
      <c r="H186" s="25" t="str">
        <f t="shared" si="7"/>
        <v>#{msg['LBL_GST_FIN_MOEDA.label']}</v>
      </c>
      <c r="I186" s="25" t="str">
        <f t="shared" si="8"/>
        <v>#{msg['LBL_GST_FIN_MOEDA.hint']}</v>
      </c>
    </row>
    <row r="187" spans="1:9" x14ac:dyDescent="0.25">
      <c r="A187" s="2">
        <f t="shared" si="6"/>
        <v>181</v>
      </c>
      <c r="C187" s="2">
        <v>4</v>
      </c>
      <c r="D187" s="2" t="str">
        <f>VLOOKUP(C187,TB_FNX_TIPO_RESOURCE_BUNDLE!$A$7:$B$28,2,FALSE)</f>
        <v>Rótulo de entrada de texto</v>
      </c>
      <c r="E187" s="2" t="s">
        <v>590</v>
      </c>
      <c r="F187" s="2" t="s">
        <v>610</v>
      </c>
      <c r="G187" s="26" t="s">
        <v>816</v>
      </c>
      <c r="H187" s="25" t="str">
        <f t="shared" si="7"/>
        <v>#{msg['LBL_GST_FIN_NUMERO.label']}</v>
      </c>
      <c r="I187" s="25" t="str">
        <f t="shared" si="8"/>
        <v>#{msg['LBL_GST_FIN_NUMERO.hint']}</v>
      </c>
    </row>
    <row r="188" spans="1:9" x14ac:dyDescent="0.25">
      <c r="A188" s="2">
        <f t="shared" si="6"/>
        <v>182</v>
      </c>
      <c r="C188" s="2">
        <v>4</v>
      </c>
      <c r="D188" s="2" t="str">
        <f>VLOOKUP(C188,TB_FNX_TIPO_RESOURCE_BUNDLE!$A$7:$B$28,2,FALSE)</f>
        <v>Rótulo de entrada de texto</v>
      </c>
      <c r="E188" s="2" t="s">
        <v>588</v>
      </c>
      <c r="F188" s="2" t="s">
        <v>608</v>
      </c>
      <c r="G188" s="26" t="s">
        <v>1282</v>
      </c>
      <c r="H188" s="25" t="str">
        <f t="shared" si="7"/>
        <v>#{msg['LBL_GST_FIN_OBRIG_AUD_EXT.label']}</v>
      </c>
      <c r="I188" s="25" t="str">
        <f t="shared" si="8"/>
        <v>#{msg['LBL_GST_FIN_OBRIG_AUD_EXT.hint']}</v>
      </c>
    </row>
    <row r="189" spans="1:9" x14ac:dyDescent="0.25">
      <c r="A189" s="2">
        <f t="shared" si="6"/>
        <v>183</v>
      </c>
      <c r="C189" s="2">
        <v>4</v>
      </c>
      <c r="D189" s="2" t="str">
        <f>VLOOKUP(C189,TB_FNX_TIPO_RESOURCE_BUNDLE!$A$7:$B$28,2,FALSE)</f>
        <v>Rótulo de entrada de texto</v>
      </c>
      <c r="E189" s="2" t="s">
        <v>586</v>
      </c>
      <c r="F189" s="2" t="s">
        <v>606</v>
      </c>
      <c r="G189" s="26" t="s">
        <v>813</v>
      </c>
      <c r="H189" s="25" t="str">
        <f t="shared" si="7"/>
        <v>#{msg['LBL_GST_FIN_PARCELA.label']}</v>
      </c>
      <c r="I189" s="25" t="str">
        <f t="shared" si="8"/>
        <v>#{msg['LBL_GST_FIN_PARCELA.hint']}</v>
      </c>
    </row>
    <row r="190" spans="1:9" x14ac:dyDescent="0.25">
      <c r="A190" s="2">
        <f t="shared" si="6"/>
        <v>184</v>
      </c>
      <c r="C190" s="2">
        <v>4</v>
      </c>
      <c r="D190" s="2" t="str">
        <f>VLOOKUP(C190,TB_FNX_TIPO_RESOURCE_BUNDLE!$A$7:$B$28,2,FALSE)</f>
        <v>Rótulo de entrada de texto</v>
      </c>
      <c r="E190" s="2" t="s">
        <v>580</v>
      </c>
      <c r="F190" s="2" t="s">
        <v>600</v>
      </c>
      <c r="G190" s="26" t="s">
        <v>807</v>
      </c>
      <c r="H190" s="25" t="str">
        <f t="shared" si="7"/>
        <v>#{msg['LBL_GST_FIN_PERC_APEX.label']}</v>
      </c>
      <c r="I190" s="25" t="str">
        <f t="shared" si="8"/>
        <v>#{msg['LBL_GST_FIN_PERC_APEX.hint']}</v>
      </c>
    </row>
    <row r="191" spans="1:9" x14ac:dyDescent="0.25">
      <c r="A191" s="2">
        <f t="shared" si="6"/>
        <v>185</v>
      </c>
      <c r="C191" s="2">
        <v>4</v>
      </c>
      <c r="D191" s="2" t="str">
        <f>VLOOKUP(C191,TB_FNX_TIPO_RESOURCE_BUNDLE!$A$7:$B$28,2,FALSE)</f>
        <v>Rótulo de entrada de texto</v>
      </c>
      <c r="E191" s="2" t="s">
        <v>584</v>
      </c>
      <c r="F191" s="2" t="s">
        <v>604</v>
      </c>
      <c r="G191" s="26" t="s">
        <v>811</v>
      </c>
      <c r="H191" s="25" t="str">
        <f t="shared" si="7"/>
        <v>#{msg['LBL_GST_FIN_PERC_CTRPT.label']}</v>
      </c>
      <c r="I191" s="25" t="str">
        <f t="shared" si="8"/>
        <v>#{msg['LBL_GST_FIN_PERC_CTRPT.hint']}</v>
      </c>
    </row>
    <row r="192" spans="1:9" ht="15" customHeight="1" x14ac:dyDescent="0.25">
      <c r="A192" s="2">
        <f t="shared" si="6"/>
        <v>186</v>
      </c>
      <c r="C192" s="2">
        <v>4</v>
      </c>
      <c r="D192" s="2" t="str">
        <f>VLOOKUP(C192,TB_FNX_TIPO_RESOURCE_BUNDLE!$A$7:$B$28,2,FALSE)</f>
        <v>Rótulo de entrada de texto</v>
      </c>
      <c r="E192" s="2" t="s">
        <v>597</v>
      </c>
      <c r="F192" s="2" t="s">
        <v>617</v>
      </c>
      <c r="G192" s="4" t="s">
        <v>822</v>
      </c>
      <c r="H192" s="25" t="str">
        <f t="shared" si="7"/>
        <v>#{msg['LBL_GST_FIN_STATUS.label']}</v>
      </c>
      <c r="I192" s="25" t="str">
        <f t="shared" si="8"/>
        <v>#{msg['LBL_GST_FIN_STATUS.hint']}</v>
      </c>
    </row>
    <row r="193" spans="1:9" x14ac:dyDescent="0.25">
      <c r="A193" s="2">
        <f t="shared" si="6"/>
        <v>187</v>
      </c>
      <c r="C193" s="2">
        <v>4</v>
      </c>
      <c r="D193" s="2" t="str">
        <f>VLOOKUP(C193,TB_FNX_TIPO_RESOURCE_BUNDLE!$A$7:$B$28,2,FALSE)</f>
        <v>Rótulo de entrada de texto</v>
      </c>
      <c r="E193" s="2" t="s">
        <v>579</v>
      </c>
      <c r="F193" s="2" t="s">
        <v>599</v>
      </c>
      <c r="G193" s="26" t="s">
        <v>806</v>
      </c>
      <c r="H193" s="25" t="str">
        <f t="shared" si="7"/>
        <v>#{msg['LBL_GST_FIN_VALOR_APEX.label']}</v>
      </c>
      <c r="I193" s="25" t="str">
        <f t="shared" si="8"/>
        <v>#{msg['LBL_GST_FIN_VALOR_APEX.hint']}</v>
      </c>
    </row>
    <row r="194" spans="1:9" x14ac:dyDescent="0.25">
      <c r="A194" s="2">
        <f t="shared" si="6"/>
        <v>188</v>
      </c>
      <c r="C194" s="2">
        <v>4</v>
      </c>
      <c r="D194" s="2" t="str">
        <f>VLOOKUP(C194,TB_FNX_TIPO_RESOURCE_BUNDLE!$A$7:$B$28,2,FALSE)</f>
        <v>Rótulo de entrada de texto</v>
      </c>
      <c r="E194" s="2" t="s">
        <v>582</v>
      </c>
      <c r="F194" s="2" t="s">
        <v>602</v>
      </c>
      <c r="G194" s="26" t="s">
        <v>809</v>
      </c>
      <c r="H194" s="25" t="str">
        <f t="shared" si="7"/>
        <v>#{msg['LBL_GST_FIN_VLR CTRPT_FIN.label']}</v>
      </c>
      <c r="I194" s="25" t="str">
        <f t="shared" si="8"/>
        <v>#{msg['LBL_GST_FIN_VLR CTRPT_FIN.hint']}</v>
      </c>
    </row>
    <row r="195" spans="1:9" x14ac:dyDescent="0.25">
      <c r="A195" s="2">
        <f t="shared" si="6"/>
        <v>189</v>
      </c>
      <c r="C195" s="2">
        <v>4</v>
      </c>
      <c r="D195" s="2" t="str">
        <f>VLOOKUP(C195,TB_FNX_TIPO_RESOURCE_BUNDLE!$A$7:$B$28,2,FALSE)</f>
        <v>Rótulo de entrada de texto</v>
      </c>
      <c r="E195" s="2" t="s">
        <v>581</v>
      </c>
      <c r="F195" s="2" t="s">
        <v>601</v>
      </c>
      <c r="G195" s="26" t="s">
        <v>808</v>
      </c>
      <c r="H195" s="25" t="str">
        <f t="shared" si="7"/>
        <v>#{msg['LBL_GST_FIN_VLR_CTRPT_ECO.label']}</v>
      </c>
      <c r="I195" s="25" t="str">
        <f t="shared" si="8"/>
        <v>#{msg['LBL_GST_FIN_VLR_CTRPT_ECO.hint']}</v>
      </c>
    </row>
    <row r="196" spans="1:9" x14ac:dyDescent="0.25">
      <c r="A196" s="2">
        <f t="shared" si="6"/>
        <v>190</v>
      </c>
      <c r="C196" s="2">
        <v>4</v>
      </c>
      <c r="D196" s="2" t="str">
        <f>VLOOKUP(C196,TB_FNX_TIPO_RESOURCE_BUNDLE!$A$7:$B$28,2,FALSE)</f>
        <v>Rótulo de entrada de texto</v>
      </c>
      <c r="E196" s="2" t="s">
        <v>593</v>
      </c>
      <c r="F196" s="2" t="s">
        <v>613</v>
      </c>
      <c r="G196" s="26" t="s">
        <v>819</v>
      </c>
      <c r="H196" s="25" t="str">
        <f t="shared" si="7"/>
        <v>#{msg['LBL_GST_FIN_VLR_MOEDA_ORI.label']}</v>
      </c>
      <c r="I196" s="25" t="str">
        <f t="shared" si="8"/>
        <v>#{msg['LBL_GST_FIN_VLR_MOEDA_ORI.hint']}</v>
      </c>
    </row>
    <row r="197" spans="1:9" x14ac:dyDescent="0.25">
      <c r="A197" s="2">
        <f t="shared" si="6"/>
        <v>191</v>
      </c>
      <c r="C197" s="2">
        <v>4</v>
      </c>
      <c r="D197" s="2" t="str">
        <f>VLOOKUP(C197,TB_FNX_TIPO_RESOURCE_BUNDLE!$A$7:$B$28,2,FALSE)</f>
        <v>Rótulo de entrada de texto</v>
      </c>
      <c r="E197" s="2" t="s">
        <v>596</v>
      </c>
      <c r="F197" s="2" t="s">
        <v>616</v>
      </c>
      <c r="G197" s="26" t="s">
        <v>821</v>
      </c>
      <c r="H197" s="25" t="str">
        <f t="shared" si="7"/>
        <v>#{msg['LBL_GST_FIN_VLR_PGTO.label']}</v>
      </c>
      <c r="I197" s="25" t="str">
        <f t="shared" si="8"/>
        <v>#{msg['LBL_GST_FIN_VLR_PGTO.hint']}</v>
      </c>
    </row>
    <row r="198" spans="1:9" x14ac:dyDescent="0.25">
      <c r="A198" s="2">
        <f t="shared" si="6"/>
        <v>192</v>
      </c>
      <c r="C198" s="2">
        <v>4</v>
      </c>
      <c r="D198" s="2" t="str">
        <f>VLOOKUP(C198,TB_FNX_TIPO_RESOURCE_BUNDLE!$A$7:$B$28,2,FALSE)</f>
        <v>Rótulo de entrada de texto</v>
      </c>
      <c r="E198" s="2" t="s">
        <v>594</v>
      </c>
      <c r="F198" s="2" t="s">
        <v>1421</v>
      </c>
      <c r="G198" s="26" t="s">
        <v>1422</v>
      </c>
      <c r="H198" s="25" t="str">
        <f t="shared" si="7"/>
        <v>#{msg['LBL_GST_FIN_VLR_PREVISTO.label']}</v>
      </c>
      <c r="I198" s="25" t="str">
        <f t="shared" si="8"/>
        <v>#{msg['LBL_GST_FIN_VLR_PREVISTO.hint']}</v>
      </c>
    </row>
    <row r="199" spans="1:9" x14ac:dyDescent="0.25">
      <c r="A199" s="2">
        <f t="shared" si="6"/>
        <v>193</v>
      </c>
      <c r="C199" s="2">
        <v>4</v>
      </c>
      <c r="D199" s="2" t="str">
        <f>VLOOKUP(C199,TB_FNX_TIPO_RESOURCE_BUNDLE!$A$7:$B$28,2,FALSE)</f>
        <v>Rótulo de entrada de texto</v>
      </c>
      <c r="E199" s="2" t="s">
        <v>585</v>
      </c>
      <c r="F199" s="2" t="s">
        <v>605</v>
      </c>
      <c r="G199" s="26" t="s">
        <v>812</v>
      </c>
      <c r="H199" s="25" t="str">
        <f t="shared" si="7"/>
        <v>#{msg['LBL_GST_FIN_VLR_TOTAL.label']}</v>
      </c>
      <c r="I199" s="25" t="str">
        <f t="shared" si="8"/>
        <v>#{msg['LBL_GST_FIN_VLR_TOTAL.hint']}</v>
      </c>
    </row>
    <row r="200" spans="1:9" x14ac:dyDescent="0.25">
      <c r="A200" s="2">
        <f t="shared" ref="A200:A263" si="9">A199+1</f>
        <v>194</v>
      </c>
      <c r="C200" s="2">
        <v>4</v>
      </c>
      <c r="D200" s="2" t="str">
        <f>VLOOKUP(C200,TB_FNX_TIPO_RESOURCE_BUNDLE!$A$7:$B$28,2,FALSE)</f>
        <v>Rótulo de entrada de texto</v>
      </c>
      <c r="E200" s="2" t="s">
        <v>583</v>
      </c>
      <c r="F200" s="2" t="s">
        <v>603</v>
      </c>
      <c r="G200" s="26" t="s">
        <v>810</v>
      </c>
      <c r="H200" s="25" t="str">
        <f t="shared" ref="H200:H263" si="10">CONCATENATE("#{msg['",$E200,".label']}")</f>
        <v>#{msg['LBL_GST_FIN_VLR_TOTAL_CTRPT.label']}</v>
      </c>
      <c r="I200" s="25" t="str">
        <f t="shared" ref="I200:I263" si="11">CONCATENATE("#{msg['",$E200,".hint']}")</f>
        <v>#{msg['LBL_GST_FIN_VLR_TOTAL_CTRPT.hint']}</v>
      </c>
    </row>
    <row r="201" spans="1:9" x14ac:dyDescent="0.25">
      <c r="A201" s="2">
        <f t="shared" si="9"/>
        <v>195</v>
      </c>
      <c r="C201" s="2">
        <v>4</v>
      </c>
      <c r="D201" s="2" t="str">
        <f>VLOOKUP(C201,TB_FNX_TIPO_RESOURCE_BUNDLE!$A$7:$B$28,2,FALSE)</f>
        <v>Rótulo de entrada de texto</v>
      </c>
      <c r="E201" s="2" t="s">
        <v>1140</v>
      </c>
      <c r="F201" s="2" t="s">
        <v>1123</v>
      </c>
      <c r="G201" s="25" t="s">
        <v>1123</v>
      </c>
      <c r="H201" s="25" t="str">
        <f t="shared" si="10"/>
        <v>#{msg['LBL_LANC_REAL.label']}</v>
      </c>
      <c r="I201" s="25" t="str">
        <f t="shared" si="11"/>
        <v>#{msg['LBL_LANC_REAL.hint']}</v>
      </c>
    </row>
    <row r="202" spans="1:9" x14ac:dyDescent="0.25">
      <c r="A202" s="2">
        <f t="shared" si="9"/>
        <v>196</v>
      </c>
      <c r="C202" s="2">
        <v>4</v>
      </c>
      <c r="D202" s="2" t="str">
        <f>VLOOKUP(C202,TB_FNX_TIPO_RESOURCE_BUNDLE!$A$7:$B$28,2,FALSE)</f>
        <v>Rótulo de entrada de texto</v>
      </c>
      <c r="E202" s="2" t="s">
        <v>1192</v>
      </c>
      <c r="F202" s="2" t="s">
        <v>1190</v>
      </c>
      <c r="G202" s="26" t="s">
        <v>1191</v>
      </c>
      <c r="H202" s="25" t="str">
        <f t="shared" si="10"/>
        <v>#{msg['LBL_LANC_REAL_CENTRO_CUSTO.label']}</v>
      </c>
      <c r="I202" s="25" t="str">
        <f t="shared" si="11"/>
        <v>#{msg['LBL_LANC_REAL_CENTRO_CUSTO.hint']}</v>
      </c>
    </row>
    <row r="203" spans="1:9" x14ac:dyDescent="0.25">
      <c r="A203" s="2">
        <f t="shared" si="9"/>
        <v>197</v>
      </c>
      <c r="C203" s="2">
        <v>4</v>
      </c>
      <c r="D203" s="2" t="str">
        <f>VLOOKUP(C203,TB_FNX_TIPO_RESOURCE_BUNDLE!$A$7:$B$28,2,FALSE)</f>
        <v>Rótulo de entrada de texto</v>
      </c>
      <c r="E203" s="2" t="s">
        <v>1194</v>
      </c>
      <c r="F203" s="2" t="s">
        <v>1196</v>
      </c>
      <c r="G203" s="26" t="s">
        <v>1160</v>
      </c>
      <c r="H203" s="25" t="str">
        <f t="shared" si="10"/>
        <v>#{msg['LBL_LANC_REAL_CONTRAPARTIDA_ECO.label']}</v>
      </c>
      <c r="I203" s="25" t="str">
        <f t="shared" si="11"/>
        <v>#{msg['LBL_LANC_REAL_CONTRAPARTIDA_ECO.hint']}</v>
      </c>
    </row>
    <row r="204" spans="1:9" x14ac:dyDescent="0.25">
      <c r="A204" s="2">
        <f t="shared" si="9"/>
        <v>198</v>
      </c>
      <c r="C204" s="2">
        <v>4</v>
      </c>
      <c r="D204" s="2" t="str">
        <f>VLOOKUP(C204,TB_FNX_TIPO_RESOURCE_BUNDLE!$A$7:$B$28,2,FALSE)</f>
        <v>Rótulo de entrada de texto</v>
      </c>
      <c r="E204" s="2" t="s">
        <v>1193</v>
      </c>
      <c r="F204" s="2" t="s">
        <v>1195</v>
      </c>
      <c r="G204" s="26" t="s">
        <v>1159</v>
      </c>
      <c r="H204" s="25" t="str">
        <f t="shared" si="10"/>
        <v>#{msg['LBL_LANC_REAL_CONTRAPARTIDA_FIN.label']}</v>
      </c>
      <c r="I204" s="25" t="str">
        <f t="shared" si="11"/>
        <v>#{msg['LBL_LANC_REAL_CONTRAPARTIDA_FIN.hint']}</v>
      </c>
    </row>
    <row r="205" spans="1:9" x14ac:dyDescent="0.25">
      <c r="A205" s="2">
        <f t="shared" si="9"/>
        <v>199</v>
      </c>
      <c r="C205" s="2">
        <v>4</v>
      </c>
      <c r="D205" s="2" t="str">
        <f>VLOOKUP(C205,TB_FNX_TIPO_RESOURCE_BUNDLE!$A$7:$B$28,2,FALSE)</f>
        <v>Rótulo de entrada de texto</v>
      </c>
      <c r="E205" s="2" t="s">
        <v>1181</v>
      </c>
      <c r="F205" s="2" t="s">
        <v>1182</v>
      </c>
      <c r="G205" s="26" t="s">
        <v>1183</v>
      </c>
      <c r="H205" s="25" t="str">
        <f t="shared" si="10"/>
        <v>#{msg['LBL_LANC_REAL_CONTRATO.label']}</v>
      </c>
      <c r="I205" s="25" t="str">
        <f t="shared" si="11"/>
        <v>#{msg['LBL_LANC_REAL_CONTRATO.hint']}</v>
      </c>
    </row>
    <row r="206" spans="1:9" x14ac:dyDescent="0.25">
      <c r="A206" s="2">
        <f t="shared" si="9"/>
        <v>200</v>
      </c>
      <c r="C206" s="2">
        <v>4</v>
      </c>
      <c r="D206" s="2" t="str">
        <f>VLOOKUP(C206,TB_FNX_TIPO_RESOURCE_BUNDLE!$A$7:$B$28,2,FALSE)</f>
        <v>Rótulo de entrada de texto</v>
      </c>
      <c r="E206" s="2" t="s">
        <v>1186</v>
      </c>
      <c r="F206" s="2" t="s">
        <v>620</v>
      </c>
      <c r="G206" s="26" t="s">
        <v>823</v>
      </c>
      <c r="H206" s="25" t="str">
        <f t="shared" si="10"/>
        <v>#{msg['LBL_LANC_REAL_COTACAO.label']}</v>
      </c>
      <c r="I206" s="25" t="str">
        <f t="shared" si="11"/>
        <v>#{msg['LBL_LANC_REAL_COTACAO.hint']}</v>
      </c>
    </row>
    <row r="207" spans="1:9" x14ac:dyDescent="0.25">
      <c r="A207" s="2">
        <f t="shared" si="9"/>
        <v>201</v>
      </c>
      <c r="C207" s="2">
        <v>4</v>
      </c>
      <c r="D207" s="2" t="str">
        <f>VLOOKUP(C207,TB_FNX_TIPO_RESOURCE_BUNDLE!$A$7:$B$28,2,FALSE)</f>
        <v>Rótulo de entrada de texto</v>
      </c>
      <c r="E207" s="2" t="s">
        <v>1265</v>
      </c>
      <c r="F207" s="2" t="s">
        <v>1266</v>
      </c>
      <c r="G207" s="26" t="s">
        <v>1266</v>
      </c>
      <c r="H207" s="25" t="str">
        <f t="shared" si="10"/>
        <v>#{msg['LBL_LANC_REAL_DETALHAR_CONTRATO.label']}</v>
      </c>
      <c r="I207" s="25" t="str">
        <f t="shared" si="11"/>
        <v>#{msg['LBL_LANC_REAL_DETALHAR_CONTRATO.hint']}</v>
      </c>
    </row>
    <row r="208" spans="1:9" x14ac:dyDescent="0.25">
      <c r="A208" s="2">
        <f t="shared" si="9"/>
        <v>202</v>
      </c>
      <c r="C208" s="2">
        <v>4</v>
      </c>
      <c r="D208" s="2" t="str">
        <f>VLOOKUP(C208,TB_FNX_TIPO_RESOURCE_BUNDLE!$A$7:$B$28,2,FALSE)</f>
        <v>Rótulo de entrada de texto</v>
      </c>
      <c r="E208" s="2" t="s">
        <v>1263</v>
      </c>
      <c r="F208" s="2" t="s">
        <v>1264</v>
      </c>
      <c r="G208" s="26" t="s">
        <v>1264</v>
      </c>
      <c r="H208" s="25" t="str">
        <f t="shared" si="10"/>
        <v>#{msg['LBL_LANC_REAL_DETALHAR_CONVENIO.label']}</v>
      </c>
      <c r="I208" s="25" t="str">
        <f t="shared" si="11"/>
        <v>#{msg['LBL_LANC_REAL_DETALHAR_CONVENIO.hint']}</v>
      </c>
    </row>
    <row r="209" spans="1:9" x14ac:dyDescent="0.25">
      <c r="A209" s="2">
        <f t="shared" si="9"/>
        <v>203</v>
      </c>
      <c r="C209" s="2">
        <v>4</v>
      </c>
      <c r="D209" s="2" t="str">
        <f>VLOOKUP(C209,TB_FNX_TIPO_RESOURCE_BUNDLE!$A$7:$B$28,2,FALSE)</f>
        <v>Rótulo de entrada de texto</v>
      </c>
      <c r="E209" s="2" t="s">
        <v>1200</v>
      </c>
      <c r="F209" s="2" t="s">
        <v>1201</v>
      </c>
      <c r="G209" s="26" t="s">
        <v>1202</v>
      </c>
      <c r="H209" s="25" t="str">
        <f t="shared" si="10"/>
        <v>#{msg['LBL_LANC_REAL_DT_EMISSAO.label']}</v>
      </c>
      <c r="I209" s="25" t="str">
        <f t="shared" si="11"/>
        <v>#{msg['LBL_LANC_REAL_DT_EMISSAO.hint']}</v>
      </c>
    </row>
    <row r="210" spans="1:9" x14ac:dyDescent="0.25">
      <c r="A210" s="2">
        <f t="shared" si="9"/>
        <v>204</v>
      </c>
      <c r="C210" s="2">
        <v>4</v>
      </c>
      <c r="D210" s="2" t="str">
        <f>VLOOKUP(C210,TB_FNX_TIPO_RESOURCE_BUNDLE!$A$7:$B$28,2,FALSE)</f>
        <v>Rótulo de entrada de texto</v>
      </c>
      <c r="E210" s="2" t="s">
        <v>1203</v>
      </c>
      <c r="F210" s="2" t="s">
        <v>1204</v>
      </c>
      <c r="G210" s="26" t="s">
        <v>1205</v>
      </c>
      <c r="H210" s="25" t="str">
        <f t="shared" si="10"/>
        <v>#{msg['LBL_LANC_REAL_DT_PAGAMENTO.label']}</v>
      </c>
      <c r="I210" s="25" t="str">
        <f t="shared" si="11"/>
        <v>#{msg['LBL_LANC_REAL_DT_PAGAMENTO.hint']}</v>
      </c>
    </row>
    <row r="211" spans="1:9" x14ac:dyDescent="0.25">
      <c r="A211" s="2">
        <f t="shared" si="9"/>
        <v>205</v>
      </c>
      <c r="C211" s="2">
        <v>4</v>
      </c>
      <c r="D211" s="2" t="str">
        <f>VLOOKUP(C211,TB_FNX_TIPO_RESOURCE_BUNDLE!$A$7:$B$28,2,FALSE)</f>
        <v>Rótulo de entrada de texto</v>
      </c>
      <c r="E211" s="2" t="s">
        <v>1197</v>
      </c>
      <c r="F211" s="2" t="s">
        <v>923</v>
      </c>
      <c r="G211" s="26" t="s">
        <v>923</v>
      </c>
      <c r="H211" s="25" t="str">
        <f t="shared" si="10"/>
        <v>#{msg['LBL_LANC_REAL_ESPEC_SERVICO.label']}</v>
      </c>
      <c r="I211" s="25" t="str">
        <f t="shared" si="11"/>
        <v>#{msg['LBL_LANC_REAL_ESPEC_SERVICO.hint']}</v>
      </c>
    </row>
    <row r="212" spans="1:9" x14ac:dyDescent="0.25">
      <c r="A212" s="2">
        <f t="shared" si="9"/>
        <v>206</v>
      </c>
      <c r="C212" s="2">
        <v>4</v>
      </c>
      <c r="D212" s="2" t="str">
        <f>VLOOKUP(C212,TB_FNX_TIPO_RESOURCE_BUNDLE!$A$7:$B$28,2,FALSE)</f>
        <v>Rótulo de entrada de texto</v>
      </c>
      <c r="E212" s="2" t="s">
        <v>1187</v>
      </c>
      <c r="F212" s="2" t="s">
        <v>1188</v>
      </c>
      <c r="G212" s="26" t="s">
        <v>1188</v>
      </c>
      <c r="H212" s="25" t="str">
        <f t="shared" si="10"/>
        <v>#{msg['LBL_LANC_REAL_FORNECEDOR.label']}</v>
      </c>
      <c r="I212" s="25" t="str">
        <f t="shared" si="11"/>
        <v>#{msg['LBL_LANC_REAL_FORNECEDOR.hint']}</v>
      </c>
    </row>
    <row r="213" spans="1:9" x14ac:dyDescent="0.25">
      <c r="A213" s="2">
        <f t="shared" si="9"/>
        <v>207</v>
      </c>
      <c r="C213" s="2">
        <v>4</v>
      </c>
      <c r="D213" s="2" t="str">
        <f>VLOOKUP(C213,TB_FNX_TIPO_RESOURCE_BUNDLE!$A$7:$B$28,2,FALSE)</f>
        <v>Rótulo de entrada de texto</v>
      </c>
      <c r="E213" s="2" t="s">
        <v>1267</v>
      </c>
      <c r="F213" s="2" t="s">
        <v>1268</v>
      </c>
      <c r="G213" s="26" t="s">
        <v>1221</v>
      </c>
      <c r="H213" s="25" t="str">
        <f t="shared" si="10"/>
        <v>#{msg['LBL_LANC_REAL_INSERIR_LANCAMENTO.label']}</v>
      </c>
      <c r="I213" s="25" t="str">
        <f t="shared" si="11"/>
        <v>#{msg['LBL_LANC_REAL_INSERIR_LANCAMENTO.hint']}</v>
      </c>
    </row>
    <row r="214" spans="1:9" x14ac:dyDescent="0.25">
      <c r="A214" s="2">
        <f t="shared" si="9"/>
        <v>208</v>
      </c>
      <c r="C214" s="2">
        <v>4</v>
      </c>
      <c r="D214" s="2" t="str">
        <f>VLOOKUP(C214,TB_FNX_TIPO_RESOURCE_BUNDLE!$A$7:$B$28,2,FALSE)</f>
        <v>Rótulo de entrada de texto</v>
      </c>
      <c r="E214" s="2" t="s">
        <v>1173</v>
      </c>
      <c r="F214" s="2" t="s">
        <v>921</v>
      </c>
      <c r="G214" s="26" t="s">
        <v>1174</v>
      </c>
      <c r="H214" s="25" t="str">
        <f t="shared" si="10"/>
        <v>#{msg['LBL_LANC_REAL_LISTA_ACAO.label']}</v>
      </c>
      <c r="I214" s="25" t="str">
        <f t="shared" si="11"/>
        <v>#{msg['LBL_LANC_REAL_LISTA_ACAO.hint']}</v>
      </c>
    </row>
    <row r="215" spans="1:9" x14ac:dyDescent="0.25">
      <c r="A215" s="2">
        <f t="shared" si="9"/>
        <v>209</v>
      </c>
      <c r="C215" s="2">
        <v>4</v>
      </c>
      <c r="D215" s="2" t="str">
        <f>VLOOKUP(C215,TB_FNX_TIPO_RESOURCE_BUNDLE!$A$7:$B$28,2,FALSE)</f>
        <v>Rótulo de entrada de texto</v>
      </c>
      <c r="E215" s="2" t="s">
        <v>1185</v>
      </c>
      <c r="F215" s="2" t="s">
        <v>612</v>
      </c>
      <c r="G215" s="26" t="s">
        <v>1184</v>
      </c>
      <c r="H215" s="25" t="str">
        <f t="shared" si="10"/>
        <v>#{msg['LBL_LANC_REAL_MOEDA.label']}</v>
      </c>
      <c r="I215" s="25" t="str">
        <f t="shared" si="11"/>
        <v>#{msg['LBL_LANC_REAL_MOEDA.hint']}</v>
      </c>
    </row>
    <row r="216" spans="1:9" x14ac:dyDescent="0.25">
      <c r="A216" s="2">
        <f t="shared" si="9"/>
        <v>210</v>
      </c>
      <c r="B216" s="25"/>
      <c r="C216" s="25">
        <v>4</v>
      </c>
      <c r="D216" s="25" t="str">
        <f>VLOOKUP(C216,TB_FNX_TIPO_RESOURCE_BUNDLE!$A$7:$B$28,2,FALSE)</f>
        <v>Rótulo de entrada de texto</v>
      </c>
      <c r="E216" s="25" t="s">
        <v>1213</v>
      </c>
      <c r="F216" s="25" t="s">
        <v>1206</v>
      </c>
      <c r="G216" s="26" t="s">
        <v>1207</v>
      </c>
      <c r="H216" s="25" t="str">
        <f t="shared" si="10"/>
        <v>#{msg['LBL_LANC_REAL_NUM_DOC_BANCARIO.label']}</v>
      </c>
      <c r="I216" s="25" t="str">
        <f t="shared" si="11"/>
        <v>#{msg['LBL_LANC_REAL_NUM_DOC_BANCARIO.hint']}</v>
      </c>
    </row>
    <row r="217" spans="1:9" x14ac:dyDescent="0.25">
      <c r="A217" s="2">
        <f t="shared" si="9"/>
        <v>211</v>
      </c>
      <c r="C217" s="2">
        <v>4</v>
      </c>
      <c r="D217" s="2" t="str">
        <f>VLOOKUP(C217,TB_FNX_TIPO_RESOURCE_BUNDLE!$A$7:$B$28,2,FALSE)</f>
        <v>Rótulo de entrada de texto</v>
      </c>
      <c r="E217" s="2" t="s">
        <v>1214</v>
      </c>
      <c r="F217" s="2" t="s">
        <v>1215</v>
      </c>
      <c r="G217" s="25" t="s">
        <v>1215</v>
      </c>
      <c r="H217" s="25" t="str">
        <f t="shared" si="10"/>
        <v>#{msg['LBL_LANC_REAL_NUM_DOC_COMP.label']}</v>
      </c>
      <c r="I217" s="25" t="str">
        <f t="shared" si="11"/>
        <v>#{msg['LBL_LANC_REAL_NUM_DOC_COMP.hint']}</v>
      </c>
    </row>
    <row r="218" spans="1:9" x14ac:dyDescent="0.25">
      <c r="A218" s="2">
        <f t="shared" si="9"/>
        <v>212</v>
      </c>
      <c r="C218" s="2">
        <v>4</v>
      </c>
      <c r="D218" s="2" t="str">
        <f>VLOOKUP(C218,TB_FNX_TIPO_RESOURCE_BUNDLE!$A$7:$B$28,2,FALSE)</f>
        <v>Rótulo de entrada de texto</v>
      </c>
      <c r="E218" s="2" t="s">
        <v>1212</v>
      </c>
      <c r="F218" s="2" t="s">
        <v>1198</v>
      </c>
      <c r="G218" s="26" t="s">
        <v>1199</v>
      </c>
      <c r="H218" s="25" t="str">
        <f t="shared" si="10"/>
        <v>#{msg['LBL_LANC_REAL_NUM_DOC_FISCAL.label']}</v>
      </c>
      <c r="I218" s="25" t="str">
        <f t="shared" si="11"/>
        <v>#{msg['LBL_LANC_REAL_NUM_DOC_FISCAL.hint']}</v>
      </c>
    </row>
    <row r="219" spans="1:9" x14ac:dyDescent="0.25">
      <c r="A219" s="2">
        <f t="shared" si="9"/>
        <v>213</v>
      </c>
      <c r="C219" s="2">
        <v>4</v>
      </c>
      <c r="D219" s="2" t="str">
        <f>VLOOKUP(C219,TB_FNX_TIPO_RESOURCE_BUNDLE!$A$7:$B$28,2,FALSE)</f>
        <v>Rótulo de entrada de texto</v>
      </c>
      <c r="E219" s="2" t="s">
        <v>1218</v>
      </c>
      <c r="F219" s="2" t="s">
        <v>956</v>
      </c>
      <c r="G219" s="25" t="s">
        <v>956</v>
      </c>
      <c r="H219" s="25" t="str">
        <f t="shared" si="10"/>
        <v>#{msg['LBL_LANC_REAL_OBS.label']}</v>
      </c>
      <c r="I219" s="25" t="str">
        <f t="shared" si="11"/>
        <v>#{msg['LBL_LANC_REAL_OBS.hint']}</v>
      </c>
    </row>
    <row r="220" spans="1:9" x14ac:dyDescent="0.25">
      <c r="A220" s="2">
        <f t="shared" si="9"/>
        <v>214</v>
      </c>
      <c r="B220" s="25"/>
      <c r="C220" s="25">
        <v>4</v>
      </c>
      <c r="D220" s="25" t="str">
        <f>VLOOKUP(C220,TB_FNX_TIPO_RESOURCE_BUNDLE!$A$7:$B$28,2,FALSE)</f>
        <v>Rótulo de entrada de texto</v>
      </c>
      <c r="E220" s="25" t="s">
        <v>1165</v>
      </c>
      <c r="F220" s="25" t="s">
        <v>600</v>
      </c>
      <c r="G220" s="25" t="s">
        <v>1155</v>
      </c>
      <c r="H220" s="25" t="str">
        <f t="shared" si="10"/>
        <v>#{msg['LBL_LANC_REAL_PERC_APEX.label']}</v>
      </c>
      <c r="I220" s="25" t="str">
        <f t="shared" si="11"/>
        <v>#{msg['LBL_LANC_REAL_PERC_APEX.hint']}</v>
      </c>
    </row>
    <row r="221" spans="1:9" x14ac:dyDescent="0.25">
      <c r="A221" s="2">
        <f t="shared" si="9"/>
        <v>215</v>
      </c>
      <c r="C221" s="2">
        <v>4</v>
      </c>
      <c r="D221" s="2" t="str">
        <f>VLOOKUP(C221,TB_FNX_TIPO_RESOURCE_BUNDLE!$A$7:$B$28,2,FALSE)</f>
        <v>Rótulo de entrada de texto</v>
      </c>
      <c r="E221" s="2" t="s">
        <v>1167</v>
      </c>
      <c r="F221" s="2" t="s">
        <v>604</v>
      </c>
      <c r="G221" s="25" t="s">
        <v>1156</v>
      </c>
      <c r="H221" s="25" t="str">
        <f t="shared" si="10"/>
        <v>#{msg['LBL_LANC_REAL_PERC_CONTRAPARTIDA.label']}</v>
      </c>
      <c r="I221" s="25" t="str">
        <f t="shared" si="11"/>
        <v>#{msg['LBL_LANC_REAL_PERC_CONTRAPARTIDA.hint']}</v>
      </c>
    </row>
    <row r="222" spans="1:9" x14ac:dyDescent="0.25">
      <c r="A222" s="2">
        <f t="shared" si="9"/>
        <v>216</v>
      </c>
      <c r="B222" s="25"/>
      <c r="C222" s="25">
        <v>4</v>
      </c>
      <c r="D222" s="25" t="str">
        <f>VLOOKUP(C222,TB_FNX_TIPO_RESOURCE_BUNDLE!$A$7:$B$28,2,FALSE)</f>
        <v>Rótulo de entrada de texto</v>
      </c>
      <c r="E222" s="25" t="s">
        <v>1178</v>
      </c>
      <c r="F222" s="25" t="s">
        <v>1179</v>
      </c>
      <c r="G222" s="26" t="s">
        <v>1180</v>
      </c>
      <c r="H222" s="25" t="str">
        <f t="shared" si="10"/>
        <v>#{msg['LBL_LANC_REAL_PGTO_SEM_CONTRATO.label']}</v>
      </c>
      <c r="I222" s="25" t="str">
        <f t="shared" si="11"/>
        <v>#{msg['LBL_LANC_REAL_PGTO_SEM_CONTRATO.hint']}</v>
      </c>
    </row>
    <row r="223" spans="1:9" x14ac:dyDescent="0.25">
      <c r="A223" s="2">
        <f t="shared" si="9"/>
        <v>217</v>
      </c>
      <c r="B223" s="27"/>
      <c r="C223" s="27">
        <v>4</v>
      </c>
      <c r="D223" s="27" t="str">
        <f>VLOOKUP(C223,TB_FNX_TIPO_RESOURCE_BUNDLE!$A$7:$B$28,2,FALSE)</f>
        <v>Rótulo de entrada de texto</v>
      </c>
      <c r="E223" s="27" t="s">
        <v>1163</v>
      </c>
      <c r="F223" s="27" t="s">
        <v>1146</v>
      </c>
      <c r="G223" s="27" t="s">
        <v>1153</v>
      </c>
      <c r="H223" s="25" t="str">
        <f t="shared" si="10"/>
        <v>#{msg['LBL_LANC_REAL_QT_LANC.label']}</v>
      </c>
      <c r="I223" s="25" t="str">
        <f t="shared" si="11"/>
        <v>#{msg['LBL_LANC_REAL_QT_LANC.hint']}</v>
      </c>
    </row>
    <row r="224" spans="1:9" x14ac:dyDescent="0.25">
      <c r="A224" s="2">
        <f t="shared" si="9"/>
        <v>218</v>
      </c>
      <c r="C224" s="2">
        <v>4</v>
      </c>
      <c r="D224" s="2" t="str">
        <f>VLOOKUP(C224,TB_FNX_TIPO_RESOURCE_BUNDLE!$A$7:$B$28,2,FALSE)</f>
        <v>Rótulo de entrada de texto</v>
      </c>
      <c r="E224" s="2" t="s">
        <v>1208</v>
      </c>
      <c r="F224" s="2" t="s">
        <v>1209</v>
      </c>
      <c r="G224" s="25" t="s">
        <v>1209</v>
      </c>
      <c r="H224" s="25" t="str">
        <f t="shared" si="10"/>
        <v>#{msg['LBL_LANC_REAL_REDUCAO_IMPOSTO.label']}</v>
      </c>
      <c r="I224" s="25" t="str">
        <f t="shared" si="11"/>
        <v>#{msg['LBL_LANC_REAL_REDUCAO_IMPOSTO.hint']}</v>
      </c>
    </row>
    <row r="225" spans="1:9" x14ac:dyDescent="0.25">
      <c r="A225" s="2">
        <f t="shared" si="9"/>
        <v>219</v>
      </c>
      <c r="C225" s="2">
        <v>4</v>
      </c>
      <c r="D225" s="2" t="str">
        <f>VLOOKUP(C225,TB_FNX_TIPO_RESOURCE_BUNDLE!$A$7:$B$28,2,FALSE)</f>
        <v>Rótulo de entrada de texto</v>
      </c>
      <c r="E225" s="2" t="s">
        <v>1172</v>
      </c>
      <c r="F225" s="2" t="s">
        <v>1152</v>
      </c>
      <c r="G225" s="26" t="s">
        <v>1162</v>
      </c>
      <c r="H225" s="25" t="str">
        <f t="shared" si="10"/>
        <v>#{msg['LBL_LANC_REAL_SALDO_ACAO.label']}</v>
      </c>
      <c r="I225" s="25" t="str">
        <f t="shared" si="11"/>
        <v>#{msg['LBL_LANC_REAL_SALDO_ACAO.hint']}</v>
      </c>
    </row>
    <row r="226" spans="1:9" ht="30" x14ac:dyDescent="0.25">
      <c r="A226" s="2">
        <f t="shared" si="9"/>
        <v>220</v>
      </c>
      <c r="C226" s="2">
        <v>4</v>
      </c>
      <c r="D226" s="2" t="str">
        <f>VLOOKUP(C226,TB_FNX_TIPO_RESOURCE_BUNDLE!$A$7:$B$28,2,FALSE)</f>
        <v>Rótulo de entrada de texto</v>
      </c>
      <c r="E226" s="2" t="s">
        <v>1176</v>
      </c>
      <c r="F226" s="2" t="s">
        <v>1175</v>
      </c>
      <c r="G226" s="26" t="s">
        <v>1177</v>
      </c>
      <c r="H226" s="25" t="str">
        <f t="shared" si="10"/>
        <v>#{msg['LBL_LANC_REAL_SHUT_ITEM_ORC.label']}</v>
      </c>
      <c r="I226" s="25" t="str">
        <f t="shared" si="11"/>
        <v>#{msg['LBL_LANC_REAL_SHUT_ITEM_ORC.hint']}</v>
      </c>
    </row>
    <row r="227" spans="1:9" x14ac:dyDescent="0.25">
      <c r="A227" s="2">
        <f t="shared" si="9"/>
        <v>221</v>
      </c>
      <c r="C227" s="2">
        <v>4</v>
      </c>
      <c r="D227" s="2" t="str">
        <f>VLOOKUP(C227,TB_FNX_TIPO_RESOURCE_BUNDLE!$A$7:$B$28,2,FALSE)</f>
        <v>Rótulo de entrada de texto</v>
      </c>
      <c r="E227" s="2" t="s">
        <v>1166</v>
      </c>
      <c r="F227" s="2" t="s">
        <v>1148</v>
      </c>
      <c r="G227" s="25" t="s">
        <v>1157</v>
      </c>
      <c r="H227" s="25" t="str">
        <f t="shared" si="10"/>
        <v>#{msg['LBL_LANC_REAL_TOT_CONTRAPARTIDA.label']}</v>
      </c>
      <c r="I227" s="25" t="str">
        <f t="shared" si="11"/>
        <v>#{msg['LBL_LANC_REAL_TOT_CONTRAPARTIDA.hint']}</v>
      </c>
    </row>
    <row r="228" spans="1:9" x14ac:dyDescent="0.25">
      <c r="A228" s="2">
        <f t="shared" si="9"/>
        <v>222</v>
      </c>
      <c r="C228" s="2">
        <v>4</v>
      </c>
      <c r="D228" s="2" t="str">
        <f>VLOOKUP(C228,TB_FNX_TIPO_RESOURCE_BUNDLE!$A$7:$B$28,2,FALSE)</f>
        <v>Rótulo de entrada de texto</v>
      </c>
      <c r="E228" s="2" t="s">
        <v>1189</v>
      </c>
      <c r="F228" s="2" t="s">
        <v>599</v>
      </c>
      <c r="G228" s="26" t="s">
        <v>599</v>
      </c>
      <c r="H228" s="25" t="str">
        <f t="shared" si="10"/>
        <v>#{msg['LBL_LANC_REAL_VL_APEX.label']}</v>
      </c>
      <c r="I228" s="25" t="str">
        <f t="shared" si="11"/>
        <v>#{msg['LBL_LANC_REAL_VL_APEX.hint']}</v>
      </c>
    </row>
    <row r="229" spans="1:9" x14ac:dyDescent="0.25">
      <c r="A229" s="2">
        <f t="shared" si="9"/>
        <v>223</v>
      </c>
      <c r="C229" s="2">
        <v>4</v>
      </c>
      <c r="D229" s="2" t="str">
        <f>VLOOKUP(C229,TB_FNX_TIPO_RESOURCE_BUNDLE!$A$7:$B$28,2,FALSE)</f>
        <v>Rótulo de entrada de texto</v>
      </c>
      <c r="E229" s="2" t="s">
        <v>1216</v>
      </c>
      <c r="F229" s="2" t="s">
        <v>1475</v>
      </c>
      <c r="G229" s="26" t="s">
        <v>1217</v>
      </c>
      <c r="H229" s="25" t="str">
        <f t="shared" si="10"/>
        <v>#{msg['LBL_LANC_REAL_VL_APEX_MOEDA_ORIG.label']}</v>
      </c>
      <c r="I229" s="25" t="str">
        <f t="shared" si="11"/>
        <v>#{msg['LBL_LANC_REAL_VL_APEX_MOEDA_ORIG.hint']}</v>
      </c>
    </row>
    <row r="230" spans="1:9" x14ac:dyDescent="0.25">
      <c r="A230" s="2">
        <f t="shared" si="9"/>
        <v>224</v>
      </c>
      <c r="C230" s="2">
        <v>4</v>
      </c>
      <c r="D230" s="2" t="str">
        <f>VLOOKUP(C230,TB_FNX_TIPO_RESOURCE_BUNDLE!$A$7:$B$28,2,FALSE)</f>
        <v>Rótulo de entrada de texto</v>
      </c>
      <c r="E230" s="2" t="s">
        <v>1169</v>
      </c>
      <c r="F230" s="2" t="s">
        <v>1151</v>
      </c>
      <c r="G230" s="26" t="s">
        <v>1160</v>
      </c>
      <c r="H230" s="25" t="str">
        <f t="shared" si="10"/>
        <v>#{msg['LBL_LANC_REAL_VL_CONTRAPARTIDA_ECO.label']}</v>
      </c>
      <c r="I230" s="25" t="str">
        <f t="shared" si="11"/>
        <v>#{msg['LBL_LANC_REAL_VL_CONTRAPARTIDA_ECO.hint']}</v>
      </c>
    </row>
    <row r="231" spans="1:9" x14ac:dyDescent="0.25">
      <c r="A231" s="2">
        <f t="shared" si="9"/>
        <v>225</v>
      </c>
      <c r="C231" s="2">
        <v>4</v>
      </c>
      <c r="D231" s="2" t="str">
        <f>VLOOKUP(C231,TB_FNX_TIPO_RESOURCE_BUNDLE!$A$7:$B$28,2,FALSE)</f>
        <v>Rótulo de entrada de texto</v>
      </c>
      <c r="E231" s="2" t="s">
        <v>1170</v>
      </c>
      <c r="F231" s="2" t="s">
        <v>1150</v>
      </c>
      <c r="G231" s="26" t="s">
        <v>1159</v>
      </c>
      <c r="H231" s="25" t="str">
        <f t="shared" si="10"/>
        <v>#{msg['LBL_LANC_REAL_VL_CONTRAPARTIDA_FIN.label']}</v>
      </c>
      <c r="I231" s="25" t="str">
        <f t="shared" si="11"/>
        <v>#{msg['LBL_LANC_REAL_VL_CONTRAPARTIDA_FIN.hint']}</v>
      </c>
    </row>
    <row r="232" spans="1:9" x14ac:dyDescent="0.25">
      <c r="A232" s="2">
        <f t="shared" si="9"/>
        <v>226</v>
      </c>
      <c r="C232" s="2">
        <v>4</v>
      </c>
      <c r="D232" s="2" t="str">
        <f>VLOOKUP(C232,TB_FNX_TIPO_RESOURCE_BUNDLE!$A$7:$B$28,2,FALSE)</f>
        <v>Rótulo de entrada de texto</v>
      </c>
      <c r="E232" s="2" t="s">
        <v>1210</v>
      </c>
      <c r="F232" s="2" t="s">
        <v>1211</v>
      </c>
      <c r="G232" s="26" t="s">
        <v>1211</v>
      </c>
      <c r="H232" s="25" t="str">
        <f t="shared" si="10"/>
        <v>#{msg['LBL_LANC_REAL_VL_IMPOSTO.label']}</v>
      </c>
      <c r="I232" s="25" t="str">
        <f t="shared" si="11"/>
        <v>#{msg['LBL_LANC_REAL_VL_IMPOSTO.hint']}</v>
      </c>
    </row>
    <row r="233" spans="1:9" x14ac:dyDescent="0.25">
      <c r="A233" s="2">
        <f t="shared" si="9"/>
        <v>227</v>
      </c>
      <c r="C233" s="2">
        <v>4</v>
      </c>
      <c r="D233" s="2" t="str">
        <f>VLOOKUP(C233,TB_FNX_TIPO_RESOURCE_BUNDLE!$A$7:$B$28,2,FALSE)</f>
        <v>Rótulo de entrada de texto</v>
      </c>
      <c r="E233" s="2" t="s">
        <v>1164</v>
      </c>
      <c r="F233" s="2" t="s">
        <v>1147</v>
      </c>
      <c r="G233" s="25" t="s">
        <v>1154</v>
      </c>
      <c r="H233" s="25" t="str">
        <f t="shared" si="10"/>
        <v>#{msg['LBL_LANC_REAL_VL_PREV_APEX.label']}</v>
      </c>
      <c r="I233" s="25" t="str">
        <f t="shared" si="11"/>
        <v>#{msg['LBL_LANC_REAL_VL_PREV_APEX.hint']}</v>
      </c>
    </row>
    <row r="234" spans="1:9" x14ac:dyDescent="0.25">
      <c r="A234" s="2">
        <f t="shared" si="9"/>
        <v>228</v>
      </c>
      <c r="C234" s="2">
        <v>4</v>
      </c>
      <c r="D234" s="2" t="str">
        <f>VLOOKUP(C234,TB_FNX_TIPO_RESOURCE_BUNDLE!$A$7:$B$28,2,FALSE)</f>
        <v>Rótulo de entrada de texto</v>
      </c>
      <c r="E234" s="2" t="s">
        <v>1168</v>
      </c>
      <c r="F234" s="2" t="s">
        <v>1149</v>
      </c>
      <c r="G234" s="25" t="s">
        <v>1158</v>
      </c>
      <c r="H234" s="25" t="str">
        <f t="shared" si="10"/>
        <v>#{msg['LBL_LANC_REAL_VL_REAL_APEX.label']}</v>
      </c>
      <c r="I234" s="25" t="str">
        <f t="shared" si="11"/>
        <v>#{msg['LBL_LANC_REAL_VL_REAL_APEX.hint']}</v>
      </c>
    </row>
    <row r="235" spans="1:9" x14ac:dyDescent="0.25">
      <c r="A235" s="2">
        <f t="shared" si="9"/>
        <v>229</v>
      </c>
      <c r="C235" s="2">
        <v>4</v>
      </c>
      <c r="D235" s="2" t="str">
        <f>VLOOKUP(C235,TB_FNX_TIPO_RESOURCE_BUNDLE!$A$7:$B$28,2,FALSE)</f>
        <v>Rótulo de entrada de texto</v>
      </c>
      <c r="E235" s="2" t="s">
        <v>1171</v>
      </c>
      <c r="F235" s="2" t="s">
        <v>697</v>
      </c>
      <c r="G235" s="26" t="s">
        <v>1161</v>
      </c>
      <c r="H235" s="25" t="str">
        <f t="shared" si="10"/>
        <v>#{msg['LBL_LANC_REAL_VL_TOTAL.label']}</v>
      </c>
      <c r="I235" s="25" t="str">
        <f t="shared" si="11"/>
        <v>#{msg['LBL_LANC_REAL_VL_TOTAL.hint']}</v>
      </c>
    </row>
    <row r="236" spans="1:9" x14ac:dyDescent="0.25">
      <c r="A236" s="2">
        <f t="shared" si="9"/>
        <v>230</v>
      </c>
      <c r="C236" s="2">
        <v>4</v>
      </c>
      <c r="D236" s="2" t="str">
        <f>VLOOKUP(C236,TB_FNX_TIPO_RESOURCE_BUNDLE!$A$7:$B$28,2,FALSE)</f>
        <v>Rótulo de entrada de texto</v>
      </c>
      <c r="E236" s="2" t="s">
        <v>260</v>
      </c>
      <c r="F236" s="2" t="s">
        <v>264</v>
      </c>
      <c r="G236" s="26" t="s">
        <v>752</v>
      </c>
      <c r="H236" s="25" t="str">
        <f t="shared" si="10"/>
        <v>#{msg['LBL_LIDER.label']}</v>
      </c>
      <c r="I236" s="25" t="str">
        <f t="shared" si="11"/>
        <v>#{msg['LBL_LIDER.hint']}</v>
      </c>
    </row>
    <row r="237" spans="1:9" x14ac:dyDescent="0.25">
      <c r="A237" s="2">
        <f t="shared" si="9"/>
        <v>231</v>
      </c>
      <c r="C237" s="2">
        <v>4</v>
      </c>
      <c r="D237" s="2" t="str">
        <f>VLOOKUP(C237,TB_FNX_TIPO_RESOURCE_BUNDLE!$A$7:$B$28,2,FALSE)</f>
        <v>Rótulo de entrada de texto</v>
      </c>
      <c r="E237" s="2" t="s">
        <v>221</v>
      </c>
      <c r="F237" s="2" t="s">
        <v>227</v>
      </c>
      <c r="G237" s="26" t="s">
        <v>753</v>
      </c>
      <c r="H237" s="25" t="str">
        <f t="shared" si="10"/>
        <v>#{msg['LBL_LOGIN.label']}</v>
      </c>
      <c r="I237" s="25" t="str">
        <f t="shared" si="11"/>
        <v>#{msg['LBL_LOGIN.hint']}</v>
      </c>
    </row>
    <row r="238" spans="1:9" ht="30" x14ac:dyDescent="0.25">
      <c r="A238" s="2">
        <f t="shared" si="9"/>
        <v>232</v>
      </c>
      <c r="C238" s="2">
        <v>1</v>
      </c>
      <c r="D238" s="2" t="str">
        <f>VLOOKUP(C238,TB_FNX_TIPO_RESOURCE_BUNDLE!$A$7:$B$28,2,FALSE)</f>
        <v>Botão</v>
      </c>
      <c r="E238" s="2" t="s">
        <v>347</v>
      </c>
      <c r="F238" s="2" t="s">
        <v>24</v>
      </c>
      <c r="G238" s="26" t="s">
        <v>754</v>
      </c>
      <c r="H238" s="25" t="str">
        <f t="shared" si="10"/>
        <v>#{msg['LBL_MANTER_PERFIS.label']}</v>
      </c>
      <c r="I238" s="25" t="str">
        <f t="shared" si="11"/>
        <v>#{msg['LBL_MANTER_PERFIS.hint']}</v>
      </c>
    </row>
    <row r="239" spans="1:9" x14ac:dyDescent="0.25">
      <c r="A239" s="2">
        <f t="shared" si="9"/>
        <v>233</v>
      </c>
      <c r="C239" s="2">
        <v>1</v>
      </c>
      <c r="D239" s="2" t="str">
        <f>VLOOKUP(C239,TB_FNX_TIPO_RESOURCE_BUNDLE!$A$7:$B$28,2,FALSE)</f>
        <v>Botão</v>
      </c>
      <c r="E239" s="2" t="s">
        <v>346</v>
      </c>
      <c r="F239" s="2" t="s">
        <v>349</v>
      </c>
      <c r="G239" s="26" t="s">
        <v>755</v>
      </c>
      <c r="H239" s="25" t="str">
        <f t="shared" si="10"/>
        <v>#{msg['LBL_MANTER_RECURSOS.label']}</v>
      </c>
      <c r="I239" s="25" t="str">
        <f t="shared" si="11"/>
        <v>#{msg['LBL_MANTER_RECURSOS.hint']}</v>
      </c>
    </row>
    <row r="240" spans="1:9" ht="30" x14ac:dyDescent="0.25">
      <c r="A240" s="2">
        <f t="shared" si="9"/>
        <v>234</v>
      </c>
      <c r="C240" s="2">
        <v>4</v>
      </c>
      <c r="D240" s="2" t="str">
        <f>VLOOKUP(C240,TB_FNX_TIPO_RESOURCE_BUNDLE!$A$7:$B$28,2,FALSE)</f>
        <v>Rótulo de entrada de texto</v>
      </c>
      <c r="E240" s="2" t="s">
        <v>269</v>
      </c>
      <c r="F240" s="2" t="s">
        <v>23</v>
      </c>
      <c r="G240" s="26" t="s">
        <v>270</v>
      </c>
      <c r="H240" s="25" t="str">
        <f t="shared" si="10"/>
        <v>#{msg['LBL_MANTER_USUARIOS.label']}</v>
      </c>
      <c r="I240" s="25" t="str">
        <f t="shared" si="11"/>
        <v>#{msg['LBL_MANTER_USUARIOS.hint']}</v>
      </c>
    </row>
    <row r="241" spans="1:9" x14ac:dyDescent="0.25">
      <c r="A241" s="2">
        <f t="shared" si="9"/>
        <v>235</v>
      </c>
      <c r="C241" s="2">
        <v>4</v>
      </c>
      <c r="D241" s="2" t="str">
        <f>VLOOKUP(C241,TB_FNX_TIPO_RESOURCE_BUNDLE!$A$7:$B$28,2,FALSE)</f>
        <v>Rótulo de entrada de texto</v>
      </c>
      <c r="E241" s="2" t="s">
        <v>686</v>
      </c>
      <c r="F241" s="2" t="s">
        <v>690</v>
      </c>
      <c r="G241" s="26" t="s">
        <v>1431</v>
      </c>
      <c r="H241" s="25" t="str">
        <f t="shared" si="10"/>
        <v>#{msg['LBL_MEM_CALC_CONTR_ECON.label']}</v>
      </c>
      <c r="I241" s="25" t="str">
        <f t="shared" si="11"/>
        <v>#{msg['LBL_MEM_CALC_CONTR_ECON.hint']}</v>
      </c>
    </row>
    <row r="242" spans="1:9" x14ac:dyDescent="0.25">
      <c r="A242" s="2">
        <f t="shared" si="9"/>
        <v>236</v>
      </c>
      <c r="C242" s="2">
        <v>4</v>
      </c>
      <c r="D242" s="2" t="str">
        <f>VLOOKUP(C242,TB_FNX_TIPO_RESOURCE_BUNDLE!$A$7:$B$28,2,FALSE)</f>
        <v>Rótulo de entrada de texto</v>
      </c>
      <c r="E242" s="2" t="s">
        <v>687</v>
      </c>
      <c r="F242" s="2" t="s">
        <v>688</v>
      </c>
      <c r="G242" s="26" t="s">
        <v>689</v>
      </c>
      <c r="H242" s="25" t="str">
        <f t="shared" si="10"/>
        <v>#{msg['LBL_MEM_CALC_CONTR_FINAN.label']}</v>
      </c>
      <c r="I242" s="25" t="str">
        <f t="shared" si="11"/>
        <v>#{msg['LBL_MEM_CALC_CONTR_FINAN.hint']}</v>
      </c>
    </row>
    <row r="243" spans="1:9" x14ac:dyDescent="0.25">
      <c r="A243" s="2">
        <f t="shared" si="9"/>
        <v>237</v>
      </c>
      <c r="B243" s="2" t="s">
        <v>670</v>
      </c>
      <c r="C243" s="2">
        <v>4</v>
      </c>
      <c r="D243" s="2" t="str">
        <f>VLOOKUP(C243,TB_FNX_TIPO_RESOURCE_BUNDLE!$A$7:$B$28,2,FALSE)</f>
        <v>Rótulo de entrada de texto</v>
      </c>
      <c r="E243" s="2" t="s">
        <v>698</v>
      </c>
      <c r="F243" s="2" t="s">
        <v>699</v>
      </c>
      <c r="G243" s="26" t="s">
        <v>700</v>
      </c>
      <c r="H243" s="25" t="str">
        <f t="shared" si="10"/>
        <v>#{msg['LBL_MEM_CALC_DESCRICAO.label']}</v>
      </c>
      <c r="I243" s="25" t="str">
        <f t="shared" si="11"/>
        <v>#{msg['LBL_MEM_CALC_DESCRICAO.hint']}</v>
      </c>
    </row>
    <row r="244" spans="1:9" x14ac:dyDescent="0.25">
      <c r="A244" s="2">
        <f t="shared" si="9"/>
        <v>238</v>
      </c>
      <c r="C244" s="2">
        <v>4</v>
      </c>
      <c r="D244" s="2" t="str">
        <f>VLOOKUP(C244,TB_FNX_TIPO_RESOURCE_BUNDLE!$A$7:$B$28,2,FALSE)</f>
        <v>Rótulo de entrada de texto</v>
      </c>
      <c r="E244" s="2" t="s">
        <v>1460</v>
      </c>
      <c r="F244" s="2" t="s">
        <v>1461</v>
      </c>
      <c r="G244" s="26"/>
      <c r="H244" s="25" t="str">
        <f t="shared" si="10"/>
        <v>#{msg['LBL_MEM_CALC_EXPLICACAO_IMG.label']}</v>
      </c>
      <c r="I244" s="25" t="str">
        <f t="shared" si="11"/>
        <v>#{msg['LBL_MEM_CALC_EXPLICACAO_IMG.hint']}</v>
      </c>
    </row>
    <row r="245" spans="1:9" ht="45" x14ac:dyDescent="0.25">
      <c r="A245" s="2">
        <f t="shared" si="9"/>
        <v>239</v>
      </c>
      <c r="C245" s="2">
        <v>4</v>
      </c>
      <c r="D245" s="2" t="str">
        <f>VLOOKUP(C245,TB_FNX_TIPO_RESOURCE_BUNDLE!$A$7:$B$28,2,FALSE)</f>
        <v>Rótulo de entrada de texto</v>
      </c>
      <c r="E245" s="2" t="s">
        <v>671</v>
      </c>
      <c r="F245" s="2" t="s">
        <v>672</v>
      </c>
      <c r="G245" s="26" t="s">
        <v>1427</v>
      </c>
      <c r="H245" s="25" t="str">
        <f t="shared" si="10"/>
        <v>#{msg['LBL_MEM_CALC_MES_PARC.label']}</v>
      </c>
      <c r="I245" s="25" t="str">
        <f t="shared" si="11"/>
        <v>#{msg['LBL_MEM_CALC_MES_PARC.hint']}</v>
      </c>
    </row>
    <row r="246" spans="1:9" ht="30" x14ac:dyDescent="0.25">
      <c r="A246" s="2">
        <f t="shared" si="9"/>
        <v>240</v>
      </c>
      <c r="C246" s="2">
        <v>4</v>
      </c>
      <c r="D246" s="2" t="str">
        <f>VLOOKUP(C246,TB_FNX_TIPO_RESOURCE_BUNDLE!$A$7:$B$28,2,FALSE)</f>
        <v>Rótulo de entrada de texto</v>
      </c>
      <c r="E246" s="2" t="s">
        <v>677</v>
      </c>
      <c r="F246" s="2" t="s">
        <v>612</v>
      </c>
      <c r="G246" s="26" t="s">
        <v>679</v>
      </c>
      <c r="H246" s="25" t="str">
        <f t="shared" si="10"/>
        <v>#{msg['LBL_MEM_CALC_MOEDA.label']}</v>
      </c>
      <c r="I246" s="25" t="str">
        <f t="shared" si="11"/>
        <v>#{msg['LBL_MEM_CALC_MOEDA.hint']}</v>
      </c>
    </row>
    <row r="247" spans="1:9" ht="45" x14ac:dyDescent="0.25">
      <c r="A247" s="2">
        <f t="shared" si="9"/>
        <v>241</v>
      </c>
      <c r="C247" s="2">
        <v>4</v>
      </c>
      <c r="D247" s="2" t="str">
        <f>VLOOKUP(C247,TB_FNX_TIPO_RESOURCE_BUNDLE!$A$7:$B$28,2,FALSE)</f>
        <v>Rótulo de entrada de texto</v>
      </c>
      <c r="E247" s="2" t="s">
        <v>673</v>
      </c>
      <c r="F247" s="2" t="s">
        <v>606</v>
      </c>
      <c r="G247" s="26" t="s">
        <v>1428</v>
      </c>
      <c r="H247" s="25" t="str">
        <f t="shared" si="10"/>
        <v>#{msg['LBL_MEM_CALC_PARCELA.label']}</v>
      </c>
      <c r="I247" s="25" t="str">
        <f t="shared" si="11"/>
        <v>#{msg['LBL_MEM_CALC_PARCELA.hint']}</v>
      </c>
    </row>
    <row r="248" spans="1:9" x14ac:dyDescent="0.25">
      <c r="A248" s="2">
        <f t="shared" si="9"/>
        <v>242</v>
      </c>
      <c r="C248" s="2">
        <v>4</v>
      </c>
      <c r="D248" s="2" t="str">
        <f>VLOOKUP(C248,TB_FNX_TIPO_RESOURCE_BUNDLE!$A$7:$B$28,2,FALSE)</f>
        <v>Rótulo de entrada de texto</v>
      </c>
      <c r="E248" s="2" t="s">
        <v>685</v>
      </c>
      <c r="F248" s="2" t="s">
        <v>600</v>
      </c>
      <c r="G248" s="26" t="s">
        <v>695</v>
      </c>
      <c r="H248" s="25" t="str">
        <f t="shared" si="10"/>
        <v>#{msg['LBL_MEM_CALC_PERC_APEX.label']}</v>
      </c>
      <c r="I248" s="25" t="str">
        <f t="shared" si="11"/>
        <v>#{msg['LBL_MEM_CALC_PERC_APEX.hint']}</v>
      </c>
    </row>
    <row r="249" spans="1:9" ht="30" x14ac:dyDescent="0.25">
      <c r="A249" s="2">
        <f t="shared" si="9"/>
        <v>243</v>
      </c>
      <c r="C249" s="2">
        <v>4</v>
      </c>
      <c r="D249" s="2" t="str">
        <f>VLOOKUP(C249,TB_FNX_TIPO_RESOURCE_BUNDLE!$A$7:$B$28,2,FALSE)</f>
        <v>Rótulo de entrada de texto</v>
      </c>
      <c r="E249" s="2" t="s">
        <v>693</v>
      </c>
      <c r="F249" s="2" t="s">
        <v>694</v>
      </c>
      <c r="G249" s="26" t="s">
        <v>827</v>
      </c>
      <c r="H249" s="25" t="str">
        <f t="shared" si="10"/>
        <v>#{msg['LBL_MEM_CALC_PERC_CONTR.label']}</v>
      </c>
      <c r="I249" s="25" t="str">
        <f t="shared" si="11"/>
        <v>#{msg['LBL_MEM_CALC_PERC_CONTR.hint']}</v>
      </c>
    </row>
    <row r="250" spans="1:9" ht="30" x14ac:dyDescent="0.25">
      <c r="A250" s="2">
        <f t="shared" si="9"/>
        <v>244</v>
      </c>
      <c r="C250" s="2">
        <v>4</v>
      </c>
      <c r="D250" s="2" t="str">
        <f>VLOOKUP(C250,TB_FNX_TIPO_RESOURCE_BUNDLE!$A$7:$B$28,2,FALSE)</f>
        <v>Rótulo de entrada de texto</v>
      </c>
      <c r="E250" s="2" t="s">
        <v>674</v>
      </c>
      <c r="F250" s="2" t="s">
        <v>675</v>
      </c>
      <c r="G250" s="26" t="s">
        <v>1426</v>
      </c>
      <c r="H250" s="25" t="str">
        <f t="shared" si="10"/>
        <v>#{msg['LBL_MEM_CALC_PG_REC_EXTERNOS.label']}</v>
      </c>
      <c r="I250" s="25" t="str">
        <f t="shared" si="11"/>
        <v>#{msg['LBL_MEM_CALC_PG_REC_EXTERNOS.hint']}</v>
      </c>
    </row>
    <row r="251" spans="1:9" x14ac:dyDescent="0.25">
      <c r="A251" s="2">
        <f t="shared" si="9"/>
        <v>245</v>
      </c>
      <c r="C251" s="2">
        <v>4</v>
      </c>
      <c r="D251" s="2" t="str">
        <f>VLOOKUP(C251,TB_FNX_TIPO_RESOURCE_BUNDLE!$A$7:$B$28,2,FALSE)</f>
        <v>Rótulo de entrada de texto</v>
      </c>
      <c r="E251" s="2" t="s">
        <v>703</v>
      </c>
      <c r="F251" s="2" t="s">
        <v>704</v>
      </c>
      <c r="G251" s="26" t="s">
        <v>828</v>
      </c>
      <c r="H251" s="25" t="str">
        <f t="shared" si="10"/>
        <v>#{msg['LBL_MEM_CALC_PRJ_FASE_ATUAL.label']}</v>
      </c>
      <c r="I251" s="25" t="str">
        <f t="shared" si="11"/>
        <v>#{msg['LBL_MEM_CALC_PRJ_FASE_ATUAL.hint']}</v>
      </c>
    </row>
    <row r="252" spans="1:9" ht="30" x14ac:dyDescent="0.25">
      <c r="A252" s="2">
        <f t="shared" si="9"/>
        <v>246</v>
      </c>
      <c r="C252" s="2">
        <v>4</v>
      </c>
      <c r="D252" s="2" t="str">
        <f>VLOOKUP(C252,TB_FNX_TIPO_RESOURCE_BUNDLE!$A$7:$B$28,2,FALSE)</f>
        <v>Rótulo de entrada de texto</v>
      </c>
      <c r="E252" s="2" t="s">
        <v>680</v>
      </c>
      <c r="F252" s="2" t="s">
        <v>681</v>
      </c>
      <c r="G252" s="26" t="s">
        <v>682</v>
      </c>
      <c r="H252" s="25" t="str">
        <f t="shared" si="10"/>
        <v>#{msg['LBL_MEM_CALC_QTDE.label']}</v>
      </c>
      <c r="I252" s="25" t="str">
        <f t="shared" si="11"/>
        <v>#{msg['LBL_MEM_CALC_QTDE.hint']}</v>
      </c>
    </row>
    <row r="253" spans="1:9" x14ac:dyDescent="0.25">
      <c r="A253" s="2">
        <f t="shared" si="9"/>
        <v>247</v>
      </c>
      <c r="C253" s="2">
        <v>4</v>
      </c>
      <c r="D253" s="2" t="str">
        <f>VLOOKUP(C253,TB_FNX_TIPO_RESOURCE_BUNDLE!$A$7:$B$28,2,FALSE)</f>
        <v>Rótulo de entrada de texto</v>
      </c>
      <c r="E253" s="2" t="s">
        <v>1457</v>
      </c>
      <c r="F253" s="2" t="s">
        <v>1453</v>
      </c>
      <c r="G253" s="26"/>
      <c r="H253" s="25" t="str">
        <f t="shared" si="10"/>
        <v>#{msg['LBL_MEM_CALC_SHUTTLE_IOP.label']}</v>
      </c>
      <c r="I253" s="25" t="str">
        <f t="shared" si="11"/>
        <v>#{msg['LBL_MEM_CALC_SHUTTLE_IOP.hint']}</v>
      </c>
    </row>
    <row r="254" spans="1:9" x14ac:dyDescent="0.25">
      <c r="A254" s="2">
        <f t="shared" si="9"/>
        <v>248</v>
      </c>
      <c r="C254" s="2">
        <v>4</v>
      </c>
      <c r="D254" s="2" t="str">
        <f>VLOOKUP(C254,TB_FNX_TIPO_RESOURCE_BUNDLE!$A$7:$B$28,2,FALSE)</f>
        <v>Rótulo de entrada de texto</v>
      </c>
      <c r="E254" s="2" t="s">
        <v>1458</v>
      </c>
      <c r="F254" s="2" t="s">
        <v>1454</v>
      </c>
      <c r="G254" s="26"/>
      <c r="H254" s="25" t="str">
        <f t="shared" si="10"/>
        <v>#{msg['LBL_MEM_CALC_SHUTTLE_IOP_DISP.label']}</v>
      </c>
      <c r="I254" s="25" t="str">
        <f t="shared" si="11"/>
        <v>#{msg['LBL_MEM_CALC_SHUTTLE_IOP_DISP.hint']}</v>
      </c>
    </row>
    <row r="255" spans="1:9" x14ac:dyDescent="0.25">
      <c r="A255" s="2">
        <f t="shared" si="9"/>
        <v>249</v>
      </c>
      <c r="C255" s="2">
        <v>4</v>
      </c>
      <c r="D255" s="2" t="str">
        <f>VLOOKUP(C255,TB_FNX_TIPO_RESOURCE_BUNDLE!$A$7:$B$28,2,FALSE)</f>
        <v>Rótulo de entrada de texto</v>
      </c>
      <c r="E255" s="2" t="s">
        <v>1459</v>
      </c>
      <c r="F255" s="2" t="s">
        <v>1455</v>
      </c>
      <c r="G255" s="26"/>
      <c r="H255" s="25" t="str">
        <f t="shared" si="10"/>
        <v>#{msg['LBL_MEM_CALC_SHUTTLE_IOP_SEL.label']}</v>
      </c>
      <c r="I255" s="25" t="str">
        <f t="shared" si="11"/>
        <v>#{msg['LBL_MEM_CALC_SHUTTLE_IOP_SEL.hint']}</v>
      </c>
    </row>
    <row r="256" spans="1:9" x14ac:dyDescent="0.25">
      <c r="A256" s="2">
        <f t="shared" si="9"/>
        <v>250</v>
      </c>
      <c r="C256" s="2">
        <v>4</v>
      </c>
      <c r="D256" s="2" t="str">
        <f>VLOOKUP(C256,TB_FNX_TIPO_RESOURCE_BUNDLE!$A$7:$B$28,2,FALSE)</f>
        <v>Rótulo de entrada de texto</v>
      </c>
      <c r="E256" s="2" t="s">
        <v>1456</v>
      </c>
      <c r="F256" s="2" t="s">
        <v>1452</v>
      </c>
      <c r="G256" s="26"/>
      <c r="H256" s="25" t="str">
        <f t="shared" si="10"/>
        <v>#{msg['LBL_MEM_CALC_TITULO_POPUP_IOP.label']}</v>
      </c>
      <c r="I256" s="25" t="str">
        <f t="shared" si="11"/>
        <v>#{msg['LBL_MEM_CALC_TITULO_POPUP_IOP.hint']}</v>
      </c>
    </row>
    <row r="257" spans="1:9" ht="30" x14ac:dyDescent="0.25">
      <c r="A257" s="2">
        <f t="shared" si="9"/>
        <v>251</v>
      </c>
      <c r="C257" s="2">
        <v>4</v>
      </c>
      <c r="D257" s="2" t="str">
        <f>VLOOKUP(C257,TB_FNX_TIPO_RESOURCE_BUNDLE!$A$7:$B$28,2,FALSE)</f>
        <v>Rótulo de entrada de texto</v>
      </c>
      <c r="E257" s="2" t="s">
        <v>691</v>
      </c>
      <c r="F257" s="2" t="s">
        <v>692</v>
      </c>
      <c r="G257" s="26" t="s">
        <v>826</v>
      </c>
      <c r="H257" s="25" t="str">
        <f t="shared" si="10"/>
        <v>#{msg['LBL_MEM_CALC_TOTAL_CONTR.label']}</v>
      </c>
      <c r="I257" s="25" t="str">
        <f t="shared" si="11"/>
        <v>#{msg['LBL_MEM_CALC_TOTAL_CONTR.hint']}</v>
      </c>
    </row>
    <row r="258" spans="1:9" ht="30" x14ac:dyDescent="0.25">
      <c r="A258" s="2">
        <f t="shared" si="9"/>
        <v>252</v>
      </c>
      <c r="C258" s="2">
        <v>4</v>
      </c>
      <c r="D258" s="2" t="str">
        <f>VLOOKUP(C258,TB_FNX_TIPO_RESOURCE_BUNDLE!$A$7:$B$28,2,FALSE)</f>
        <v>Rótulo de entrada de texto</v>
      </c>
      <c r="E258" s="2" t="s">
        <v>676</v>
      </c>
      <c r="F258" s="2" t="s">
        <v>219</v>
      </c>
      <c r="G258" s="26" t="s">
        <v>678</v>
      </c>
      <c r="H258" s="25" t="str">
        <f t="shared" si="10"/>
        <v>#{msg['LBL_MEM_CALC_UN_MEDIDA.label']}</v>
      </c>
      <c r="I258" s="25" t="str">
        <f t="shared" si="11"/>
        <v>#{msg['LBL_MEM_CALC_UN_MEDIDA.hint']}</v>
      </c>
    </row>
    <row r="259" spans="1:9" ht="30" x14ac:dyDescent="0.25">
      <c r="A259" s="2">
        <f t="shared" si="9"/>
        <v>253</v>
      </c>
      <c r="C259" s="2">
        <v>4</v>
      </c>
      <c r="D259" s="2" t="str">
        <f>VLOOKUP(C259,TB_FNX_TIPO_RESOURCE_BUNDLE!$A$7:$B$28,2,FALSE)</f>
        <v>Rótulo de entrada de texto</v>
      </c>
      <c r="E259" s="2" t="s">
        <v>701</v>
      </c>
      <c r="F259" s="2" t="s">
        <v>702</v>
      </c>
      <c r="G259" s="26" t="s">
        <v>1430</v>
      </c>
      <c r="H259" s="25" t="str">
        <f t="shared" si="10"/>
        <v>#{msg['LBL_MEM_CALC_VLR_APEX.label']}</v>
      </c>
      <c r="I259" s="25" t="str">
        <f t="shared" si="11"/>
        <v>#{msg['LBL_MEM_CALC_VLR_APEX.hint']}</v>
      </c>
    </row>
    <row r="260" spans="1:9" ht="30" x14ac:dyDescent="0.25">
      <c r="A260" s="2">
        <f t="shared" si="9"/>
        <v>254</v>
      </c>
      <c r="C260" s="2">
        <v>4</v>
      </c>
      <c r="D260" s="2" t="str">
        <f>VLOOKUP(C260,TB_FNX_TIPO_RESOURCE_BUNDLE!$A$7:$B$28,2,FALSE)</f>
        <v>Rótulo de entrada de texto</v>
      </c>
      <c r="E260" s="2" t="s">
        <v>696</v>
      </c>
      <c r="F260" s="2" t="s">
        <v>697</v>
      </c>
      <c r="G260" s="26" t="s">
        <v>1432</v>
      </c>
      <c r="H260" s="25" t="str">
        <f t="shared" si="10"/>
        <v>#{msg['LBL_MEM_CALC_VLR_TOTAL.label']}</v>
      </c>
      <c r="I260" s="25" t="str">
        <f t="shared" si="11"/>
        <v>#{msg['LBL_MEM_CALC_VLR_TOTAL.hint']}</v>
      </c>
    </row>
    <row r="261" spans="1:9" ht="30" x14ac:dyDescent="0.25">
      <c r="A261" s="2">
        <f t="shared" si="9"/>
        <v>255</v>
      </c>
      <c r="C261" s="2">
        <v>4</v>
      </c>
      <c r="D261" s="2" t="str">
        <f>VLOOKUP(C261,TB_FNX_TIPO_RESOURCE_BUNDLE!$A$7:$B$28,2,FALSE)</f>
        <v>Rótulo de entrada de texto</v>
      </c>
      <c r="E261" s="2" t="s">
        <v>683</v>
      </c>
      <c r="F261" s="2" t="s">
        <v>684</v>
      </c>
      <c r="G261" s="26" t="s">
        <v>1429</v>
      </c>
      <c r="H261" s="25" t="str">
        <f t="shared" si="10"/>
        <v>#{msg['LBL_MEM_CALC_VLR_UNIT.label']}</v>
      </c>
      <c r="I261" s="25" t="str">
        <f t="shared" si="11"/>
        <v>#{msg['LBL_MEM_CALC_VLR_UNIT.hint']}</v>
      </c>
    </row>
    <row r="262" spans="1:9" x14ac:dyDescent="0.25">
      <c r="A262" s="2">
        <f t="shared" si="9"/>
        <v>256</v>
      </c>
      <c r="C262" s="2">
        <v>4</v>
      </c>
      <c r="D262" s="2" t="str">
        <f>VLOOKUP(C262,TB_FNX_TIPO_RESOURCE_BUNDLE!$A$7:$B$28,2,FALSE)</f>
        <v>Rótulo de entrada de texto</v>
      </c>
      <c r="E262" s="2" t="s">
        <v>902</v>
      </c>
      <c r="F262" s="2" t="s">
        <v>903</v>
      </c>
      <c r="G262" s="26" t="s">
        <v>904</v>
      </c>
      <c r="H262" s="25" t="str">
        <f t="shared" si="10"/>
        <v>#{msg['LBL_NAO_HA_DIVERGENCIA_VALOR.label']}</v>
      </c>
      <c r="I262" s="25" t="str">
        <f t="shared" si="11"/>
        <v>#{msg['LBL_NAO_HA_DIVERGENCIA_VALOR.hint']}</v>
      </c>
    </row>
    <row r="263" spans="1:9" x14ac:dyDescent="0.25">
      <c r="A263" s="2">
        <f t="shared" si="9"/>
        <v>257</v>
      </c>
      <c r="C263" s="2">
        <v>4</v>
      </c>
      <c r="D263" s="2" t="str">
        <f>VLOOKUP(C263,TB_FNX_TIPO_RESOURCE_BUNDLE!$A$7:$B$28,2,FALSE)</f>
        <v>Rótulo de entrada de texto</v>
      </c>
      <c r="E263" s="2" t="s">
        <v>237</v>
      </c>
      <c r="F263" s="2" t="s">
        <v>239</v>
      </c>
      <c r="G263" s="26" t="s">
        <v>756</v>
      </c>
      <c r="H263" s="25" t="str">
        <f t="shared" si="10"/>
        <v>#{msg['LBL_NOME_ENTIDADE.label']}</v>
      </c>
      <c r="I263" s="25" t="str">
        <f t="shared" si="11"/>
        <v>#{msg['LBL_NOME_ENTIDADE.hint']}</v>
      </c>
    </row>
    <row r="264" spans="1:9" x14ac:dyDescent="0.25">
      <c r="A264" s="2">
        <f t="shared" ref="A264:A327" si="12">A263+1</f>
        <v>258</v>
      </c>
      <c r="C264" s="2">
        <v>4</v>
      </c>
      <c r="D264" s="2" t="str">
        <f>VLOOKUP(C264,TB_FNX_TIPO_RESOURCE_BUNDLE!$A$7:$B$28,2,FALSE)</f>
        <v>Rótulo de entrada de texto</v>
      </c>
      <c r="E264" s="2" t="s">
        <v>240</v>
      </c>
      <c r="F264" s="2" t="s">
        <v>241</v>
      </c>
      <c r="G264" s="26" t="s">
        <v>757</v>
      </c>
      <c r="H264" s="25" t="str">
        <f t="shared" ref="H264:H327" si="13">CONCATENATE("#{msg['",$E264,".label']}")</f>
        <v>#{msg['LBL_NOME_PERFIL.label']}</v>
      </c>
      <c r="I264" s="25" t="str">
        <f t="shared" ref="I264:I327" si="14">CONCATENATE("#{msg['",$E264,".hint']}")</f>
        <v>#{msg['LBL_NOME_PERFIL.hint']}</v>
      </c>
    </row>
    <row r="265" spans="1:9" x14ac:dyDescent="0.25">
      <c r="A265" s="2">
        <f t="shared" si="12"/>
        <v>259</v>
      </c>
      <c r="C265" s="2">
        <v>4</v>
      </c>
      <c r="D265" s="2" t="str">
        <f>VLOOKUP(C265,TB_FNX_TIPO_RESOURCE_BUNDLE!$A$7:$B$28,2,FALSE)</f>
        <v>Rótulo de entrada de texto</v>
      </c>
      <c r="E265" s="2" t="s">
        <v>275</v>
      </c>
      <c r="F265" s="2" t="s">
        <v>287</v>
      </c>
      <c r="G265" s="26" t="s">
        <v>298</v>
      </c>
      <c r="H265" s="25" t="str">
        <f t="shared" si="13"/>
        <v>#{msg['LBL_NOME_PROJETO.label']}</v>
      </c>
      <c r="I265" s="25" t="str">
        <f t="shared" si="14"/>
        <v>#{msg['LBL_NOME_PROJETO.hint']}</v>
      </c>
    </row>
    <row r="266" spans="1:9" x14ac:dyDescent="0.25">
      <c r="A266" s="2">
        <f t="shared" si="12"/>
        <v>260</v>
      </c>
      <c r="C266" s="2">
        <v>4</v>
      </c>
      <c r="D266" s="2" t="str">
        <f>VLOOKUP(C266,TB_FNX_TIPO_RESOURCE_BUNDLE!$A$7:$B$28,2,FALSE)</f>
        <v>Rótulo de entrada de texto</v>
      </c>
      <c r="E266" s="2" t="s">
        <v>244</v>
      </c>
      <c r="F266" s="2" t="s">
        <v>168</v>
      </c>
      <c r="G266" s="26" t="s">
        <v>246</v>
      </c>
      <c r="H266" s="25" t="str">
        <f t="shared" si="13"/>
        <v>#{msg['LBL_NOME_RECURSO.label']}</v>
      </c>
      <c r="I266" s="25" t="str">
        <f t="shared" si="14"/>
        <v>#{msg['LBL_NOME_RECURSO.hint']}</v>
      </c>
    </row>
    <row r="267" spans="1:9" x14ac:dyDescent="0.25">
      <c r="A267" s="2">
        <f t="shared" si="12"/>
        <v>261</v>
      </c>
      <c r="C267" s="2">
        <v>4</v>
      </c>
      <c r="D267" s="2" t="str">
        <f>VLOOKUP(C267,TB_FNX_TIPO_RESOURCE_BUNDLE!$A$7:$B$28,2,FALSE)</f>
        <v>Rótulo de entrada de texto</v>
      </c>
      <c r="E267" s="2" t="s">
        <v>238</v>
      </c>
      <c r="F267" s="2" t="s">
        <v>219</v>
      </c>
      <c r="G267" s="26" t="s">
        <v>758</v>
      </c>
      <c r="H267" s="25" t="str">
        <f t="shared" si="13"/>
        <v>#{msg['LBL_NOME_UNIDADE.label']}</v>
      </c>
      <c r="I267" s="25" t="str">
        <f t="shared" si="14"/>
        <v>#{msg['LBL_NOME_UNIDADE.hint']}</v>
      </c>
    </row>
    <row r="268" spans="1:9" x14ac:dyDescent="0.25">
      <c r="A268" s="2">
        <f t="shared" si="12"/>
        <v>262</v>
      </c>
      <c r="C268" s="2">
        <v>4</v>
      </c>
      <c r="D268" s="2" t="str">
        <f>VLOOKUP(C268,TB_FNX_TIPO_RESOURCE_BUNDLE!$A$7:$B$28,2,FALSE)</f>
        <v>Rótulo de entrada de texto</v>
      </c>
      <c r="E268" s="2" t="s">
        <v>247</v>
      </c>
      <c r="F268" s="2" t="s">
        <v>248</v>
      </c>
      <c r="G268" s="26" t="s">
        <v>759</v>
      </c>
      <c r="H268" s="25" t="str">
        <f t="shared" si="13"/>
        <v>#{msg['LBL_NOME_USUARIO.label']}</v>
      </c>
      <c r="I268" s="25" t="str">
        <f t="shared" si="14"/>
        <v>#{msg['LBL_NOME_USUARIO.hint']}</v>
      </c>
    </row>
    <row r="269" spans="1:9" x14ac:dyDescent="0.25">
      <c r="A269" s="2">
        <f t="shared" si="12"/>
        <v>263</v>
      </c>
      <c r="C269" s="2">
        <v>4</v>
      </c>
      <c r="D269" s="2" t="str">
        <f>VLOOKUP(C269,TB_FNX_TIPO_RESOURCE_BUNDLE!$A$7:$B$28,2,FALSE)</f>
        <v>Rótulo de entrada de texto</v>
      </c>
      <c r="E269" s="2" t="s">
        <v>985</v>
      </c>
      <c r="F269" s="2" t="s">
        <v>907</v>
      </c>
      <c r="G269" s="2" t="s">
        <v>907</v>
      </c>
      <c r="H269" s="25" t="str">
        <f t="shared" si="13"/>
        <v>#{msg['LBL_PC.label']}</v>
      </c>
      <c r="I269" s="25" t="str">
        <f t="shared" si="14"/>
        <v>#{msg['LBL_PC.hint']}</v>
      </c>
    </row>
    <row r="270" spans="1:9" s="5" customFormat="1" x14ac:dyDescent="0.25">
      <c r="A270" s="2">
        <f t="shared" si="12"/>
        <v>264</v>
      </c>
      <c r="B270" s="25"/>
      <c r="C270" s="25">
        <v>4</v>
      </c>
      <c r="D270" s="25" t="str">
        <f>VLOOKUP(C270,TB_FNX_TIPO_RESOURCE_BUNDLE!$A$7:$B$28,2,FALSE)</f>
        <v>Rótulo de entrada de texto</v>
      </c>
      <c r="E270" s="25" t="s">
        <v>1009</v>
      </c>
      <c r="F270" s="25" t="s">
        <v>926</v>
      </c>
      <c r="G270" s="25" t="s">
        <v>926</v>
      </c>
      <c r="H270" s="25" t="str">
        <f t="shared" si="13"/>
        <v>#{msg['LBL_PC_1_RECEITAS.label']}</v>
      </c>
      <c r="I270" s="25" t="str">
        <f t="shared" si="14"/>
        <v>#{msg['LBL_PC_1_RECEITAS.hint']}</v>
      </c>
    </row>
    <row r="271" spans="1:9" x14ac:dyDescent="0.25">
      <c r="A271" s="2">
        <f t="shared" si="12"/>
        <v>265</v>
      </c>
      <c r="C271" s="2">
        <v>4</v>
      </c>
      <c r="D271" s="2" t="str">
        <f>VLOOKUP(C271,TB_FNX_TIPO_RESOURCE_BUNDLE!$A$7:$B$28,2,FALSE)</f>
        <v>Rótulo de entrada de texto</v>
      </c>
      <c r="E271" s="2" t="s">
        <v>1010</v>
      </c>
      <c r="F271" s="2" t="s">
        <v>927</v>
      </c>
      <c r="G271" s="2" t="s">
        <v>927</v>
      </c>
      <c r="H271" s="25" t="str">
        <f t="shared" si="13"/>
        <v>#{msg['LBL_PC_11_RECURSOS_APEX.label']}</v>
      </c>
      <c r="I271" s="25" t="str">
        <f t="shared" si="14"/>
        <v>#{msg['LBL_PC_11_RECURSOS_APEX.hint']}</v>
      </c>
    </row>
    <row r="272" spans="1:9" x14ac:dyDescent="0.25">
      <c r="A272" s="2">
        <f t="shared" si="12"/>
        <v>266</v>
      </c>
      <c r="C272" s="2">
        <v>4</v>
      </c>
      <c r="D272" s="2" t="str">
        <f>VLOOKUP(C272,TB_FNX_TIPO_RESOURCE_BUNDLE!$A$7:$B$28,2,FALSE)</f>
        <v>Rótulo de entrada de texto</v>
      </c>
      <c r="E272" s="2" t="s">
        <v>1011</v>
      </c>
      <c r="F272" s="2" t="s">
        <v>928</v>
      </c>
      <c r="G272" s="2" t="s">
        <v>928</v>
      </c>
      <c r="H272" s="25" t="str">
        <f t="shared" si="13"/>
        <v>#{msg['LBL_PC_111_DESEMBOLSOS.label']}</v>
      </c>
      <c r="I272" s="25" t="str">
        <f t="shared" si="14"/>
        <v>#{msg['LBL_PC_111_DESEMBOLSOS.hint']}</v>
      </c>
    </row>
    <row r="273" spans="1:9" x14ac:dyDescent="0.25">
      <c r="A273" s="2">
        <f t="shared" si="12"/>
        <v>267</v>
      </c>
      <c r="C273" s="2">
        <v>4</v>
      </c>
      <c r="D273" s="2" t="str">
        <f>VLOOKUP(C273,TB_FNX_TIPO_RESOURCE_BUNDLE!$A$7:$B$28,2,FALSE)</f>
        <v>Rótulo de entrada de texto</v>
      </c>
      <c r="E273" s="2" t="s">
        <v>1017</v>
      </c>
      <c r="F273" s="2" t="s">
        <v>932</v>
      </c>
      <c r="G273" s="2" t="s">
        <v>932</v>
      </c>
      <c r="H273" s="25" t="str">
        <f t="shared" si="13"/>
        <v>#{msg['LBL_PC_112_SALDO_ANTERIOR.label']}</v>
      </c>
      <c r="I273" s="25" t="str">
        <f t="shared" si="14"/>
        <v>#{msg['LBL_PC_112_SALDO_ANTERIOR.hint']}</v>
      </c>
    </row>
    <row r="274" spans="1:9" x14ac:dyDescent="0.25">
      <c r="A274" s="2">
        <f t="shared" si="12"/>
        <v>268</v>
      </c>
      <c r="C274" s="2">
        <v>4</v>
      </c>
      <c r="D274" s="2" t="str">
        <f>VLOOKUP(C274,TB_FNX_TIPO_RESOURCE_BUNDLE!$A$7:$B$28,2,FALSE)</f>
        <v>Rótulo de entrada de texto</v>
      </c>
      <c r="E274" s="2" t="s">
        <v>1019</v>
      </c>
      <c r="F274" s="2" t="s">
        <v>934</v>
      </c>
      <c r="G274" s="2" t="s">
        <v>934</v>
      </c>
      <c r="H274" s="25" t="str">
        <f t="shared" si="13"/>
        <v>#{msg['LBL_PC_121_FINANCEIRO.label']}</v>
      </c>
      <c r="I274" s="25" t="str">
        <f t="shared" si="14"/>
        <v>#{msg['LBL_PC_121_FINANCEIRO.hint']}</v>
      </c>
    </row>
    <row r="275" spans="1:9" x14ac:dyDescent="0.25">
      <c r="A275" s="2">
        <f t="shared" si="12"/>
        <v>269</v>
      </c>
      <c r="C275" s="2">
        <v>4</v>
      </c>
      <c r="D275" s="2" t="str">
        <f>VLOOKUP(C275,TB_FNX_TIPO_RESOURCE_BUNDLE!$A$7:$B$28,2,FALSE)</f>
        <v>Rótulo de entrada de texto</v>
      </c>
      <c r="E275" s="2" t="s">
        <v>1020</v>
      </c>
      <c r="F275" s="2" t="s">
        <v>935</v>
      </c>
      <c r="G275" s="2" t="s">
        <v>935</v>
      </c>
      <c r="H275" s="25" t="str">
        <f t="shared" si="13"/>
        <v>#{msg['LBL_PC_122_ECONOMICO.label']}</v>
      </c>
      <c r="I275" s="25" t="str">
        <f t="shared" si="14"/>
        <v>#{msg['LBL_PC_122_ECONOMICO.hint']}</v>
      </c>
    </row>
    <row r="276" spans="1:9" x14ac:dyDescent="0.25">
      <c r="A276" s="2">
        <f t="shared" si="12"/>
        <v>270</v>
      </c>
      <c r="C276" s="2">
        <v>4</v>
      </c>
      <c r="D276" s="2" t="str">
        <f>VLOOKUP(C276,TB_FNX_TIPO_RESOURCE_BUNDLE!$A$7:$B$28,2,FALSE)</f>
        <v>Rótulo de entrada de texto</v>
      </c>
      <c r="E276" s="2" t="s">
        <v>1021</v>
      </c>
      <c r="F276" s="2" t="s">
        <v>936</v>
      </c>
      <c r="G276" s="25" t="s">
        <v>936</v>
      </c>
      <c r="H276" s="25" t="str">
        <f t="shared" si="13"/>
        <v>#{msg['LBL_PC_13_REND_LIQ_APLIC.label']}</v>
      </c>
      <c r="I276" s="25" t="str">
        <f t="shared" si="14"/>
        <v>#{msg['LBL_PC_13_REND_LIQ_APLIC.hint']}</v>
      </c>
    </row>
    <row r="277" spans="1:9" x14ac:dyDescent="0.25">
      <c r="A277" s="2">
        <f t="shared" si="12"/>
        <v>271</v>
      </c>
      <c r="C277" s="2">
        <v>4</v>
      </c>
      <c r="D277" s="2" t="str">
        <f>VLOOKUP(C277,TB_FNX_TIPO_RESOURCE_BUNDLE!$A$7:$B$28,2,FALSE)</f>
        <v>Rótulo de entrada de texto</v>
      </c>
      <c r="E277" s="2" t="s">
        <v>1022</v>
      </c>
      <c r="F277" s="2" t="s">
        <v>937</v>
      </c>
      <c r="G277" s="25" t="s">
        <v>937</v>
      </c>
      <c r="H277" s="25" t="str">
        <f t="shared" si="13"/>
        <v>#{msg['LBL_PC_14_OUTRAS.label']}</v>
      </c>
      <c r="I277" s="25" t="str">
        <f t="shared" si="14"/>
        <v>#{msg['LBL_PC_14_OUTRAS.hint']}</v>
      </c>
    </row>
    <row r="278" spans="1:9" x14ac:dyDescent="0.25">
      <c r="A278" s="2">
        <f t="shared" si="12"/>
        <v>272</v>
      </c>
      <c r="C278" s="2">
        <v>4</v>
      </c>
      <c r="D278" s="2" t="str">
        <f>VLOOKUP(C278,TB_FNX_TIPO_RESOURCE_BUNDLE!$A$7:$B$28,2,FALSE)</f>
        <v>Rótulo de entrada de texto</v>
      </c>
      <c r="E278" s="2" t="s">
        <v>1023</v>
      </c>
      <c r="F278" s="2" t="s">
        <v>938</v>
      </c>
      <c r="G278" s="25" t="s">
        <v>938</v>
      </c>
      <c r="H278" s="25" t="str">
        <f t="shared" si="13"/>
        <v>#{msg['LBL_PC_2_DESPESAS.label']}</v>
      </c>
      <c r="I278" s="25" t="str">
        <f t="shared" si="14"/>
        <v>#{msg['LBL_PC_2_DESPESAS.hint']}</v>
      </c>
    </row>
    <row r="279" spans="1:9" x14ac:dyDescent="0.25">
      <c r="A279" s="2">
        <f t="shared" si="12"/>
        <v>273</v>
      </c>
      <c r="C279" s="2">
        <v>4</v>
      </c>
      <c r="D279" s="2" t="str">
        <f>VLOOKUP(C279,TB_FNX_TIPO_RESOURCE_BUNDLE!$A$7:$B$28,2,FALSE)</f>
        <v>Rótulo de entrada de texto</v>
      </c>
      <c r="E279" s="2" t="s">
        <v>1024</v>
      </c>
      <c r="F279" s="2" t="s">
        <v>939</v>
      </c>
      <c r="G279" s="25" t="s">
        <v>939</v>
      </c>
      <c r="H279" s="25" t="str">
        <f t="shared" si="13"/>
        <v>#{msg['LBL_PC_21_DESPESAS_EXEC.label']}</v>
      </c>
      <c r="I279" s="25" t="str">
        <f t="shared" si="14"/>
        <v>#{msg['LBL_PC_21_DESPESAS_EXEC.hint']}</v>
      </c>
    </row>
    <row r="280" spans="1:9" x14ac:dyDescent="0.25">
      <c r="A280" s="2">
        <f t="shared" si="12"/>
        <v>274</v>
      </c>
      <c r="C280" s="2">
        <v>4</v>
      </c>
      <c r="D280" s="2" t="str">
        <f>VLOOKUP(C280,TB_FNX_TIPO_RESOURCE_BUNDLE!$A$7:$B$28,2,FALSE)</f>
        <v>Rótulo de entrada de texto</v>
      </c>
      <c r="E280" s="2" t="s">
        <v>1029</v>
      </c>
      <c r="F280" s="2" t="s">
        <v>944</v>
      </c>
      <c r="G280" s="25" t="s">
        <v>944</v>
      </c>
      <c r="H280" s="25" t="str">
        <f t="shared" si="13"/>
        <v>#{msg['LBL_PC_22_DESP_BANCARIAS.label']}</v>
      </c>
      <c r="I280" s="25" t="str">
        <f t="shared" si="14"/>
        <v>#{msg['LBL_PC_22_DESP_BANCARIAS.hint']}</v>
      </c>
    </row>
    <row r="281" spans="1:9" x14ac:dyDescent="0.25">
      <c r="A281" s="2">
        <f t="shared" si="12"/>
        <v>275</v>
      </c>
      <c r="C281" s="2">
        <v>4</v>
      </c>
      <c r="D281" s="2" t="str">
        <f>VLOOKUP(C281,TB_FNX_TIPO_RESOURCE_BUNDLE!$A$7:$B$28,2,FALSE)</f>
        <v>Rótulo de entrada de texto</v>
      </c>
      <c r="E281" s="2" t="s">
        <v>1030</v>
      </c>
      <c r="F281" s="2" t="s">
        <v>945</v>
      </c>
      <c r="G281" s="25" t="s">
        <v>945</v>
      </c>
      <c r="H281" s="25" t="str">
        <f t="shared" si="13"/>
        <v>#{msg['LBL_PC_23_OUTRAS_DESPESAS.label']}</v>
      </c>
      <c r="I281" s="25" t="str">
        <f t="shared" si="14"/>
        <v>#{msg['LBL_PC_23_OUTRAS_DESPESAS.hint']}</v>
      </c>
    </row>
    <row r="282" spans="1:9" x14ac:dyDescent="0.25">
      <c r="A282" s="2">
        <f t="shared" si="12"/>
        <v>276</v>
      </c>
      <c r="C282" s="2">
        <v>4</v>
      </c>
      <c r="D282" s="2" t="str">
        <f>VLOOKUP(C282,TB_FNX_TIPO_RESOURCE_BUNDLE!$A$7:$B$28,2,FALSE)</f>
        <v>Rótulo de entrada de texto</v>
      </c>
      <c r="E282" s="2" t="s">
        <v>1031</v>
      </c>
      <c r="F282" s="2" t="s">
        <v>946</v>
      </c>
      <c r="G282" s="25" t="s">
        <v>946</v>
      </c>
      <c r="H282" s="25" t="str">
        <f t="shared" si="13"/>
        <v>#{msg['LBL_PC_24_SALDO_RECEBIMENTO.label']}</v>
      </c>
      <c r="I282" s="25" t="str">
        <f t="shared" si="14"/>
        <v>#{msg['LBL_PC_24_SALDO_RECEBIMENTO.hint']}</v>
      </c>
    </row>
    <row r="283" spans="1:9" x14ac:dyDescent="0.25">
      <c r="A283" s="2">
        <f t="shared" si="12"/>
        <v>277</v>
      </c>
      <c r="C283" s="2">
        <v>4</v>
      </c>
      <c r="D283" s="2" t="str">
        <f>VLOOKUP(C283,TB_FNX_TIPO_RESOURCE_BUNDLE!$A$7:$B$28,2,FALSE)</f>
        <v>Rótulo de entrada de texto</v>
      </c>
      <c r="E283" s="2" t="s">
        <v>1032</v>
      </c>
      <c r="F283" s="2" t="s">
        <v>947</v>
      </c>
      <c r="G283" s="25" t="s">
        <v>947</v>
      </c>
      <c r="H283" s="25" t="str">
        <f t="shared" si="13"/>
        <v>#{msg['LBL_PC_241_SALDO_APLIC_FINANCEIRA.label']}</v>
      </c>
      <c r="I283" s="25" t="str">
        <f t="shared" si="14"/>
        <v>#{msg['LBL_PC_241_SALDO_APLIC_FINANCEIRA.hint']}</v>
      </c>
    </row>
    <row r="284" spans="1:9" x14ac:dyDescent="0.25">
      <c r="A284" s="2">
        <f t="shared" si="12"/>
        <v>278</v>
      </c>
      <c r="C284" s="2">
        <v>4</v>
      </c>
      <c r="D284" s="2" t="str">
        <f>VLOOKUP(C284,TB_FNX_TIPO_RESOURCE_BUNDLE!$A$7:$B$28,2,FALSE)</f>
        <v>Rótulo de entrada de texto</v>
      </c>
      <c r="E284" s="2" t="s">
        <v>1087</v>
      </c>
      <c r="F284" s="2" t="s">
        <v>948</v>
      </c>
      <c r="G284" s="25" t="s">
        <v>948</v>
      </c>
      <c r="H284" s="25" t="str">
        <f t="shared" si="13"/>
        <v>#{msg['LBL_PC_242_SALDO_APURADO_CC.label']}</v>
      </c>
      <c r="I284" s="25" t="str">
        <f t="shared" si="14"/>
        <v>#{msg['LBL_PC_242_SALDO_APURADO_CC.hint']}</v>
      </c>
    </row>
    <row r="285" spans="1:9" x14ac:dyDescent="0.25">
      <c r="A285" s="2">
        <f t="shared" si="12"/>
        <v>279</v>
      </c>
      <c r="C285" s="2">
        <v>4</v>
      </c>
      <c r="D285" s="2" t="str">
        <f>VLOOKUP(C285,TB_FNX_TIPO_RESOURCE_BUNDLE!$A$7:$B$28,2,FALSE)</f>
        <v>Rótulo de entrada de texto</v>
      </c>
      <c r="E285" s="2" t="s">
        <v>1003</v>
      </c>
      <c r="F285" s="2" t="s">
        <v>921</v>
      </c>
      <c r="G285" s="25" t="s">
        <v>921</v>
      </c>
      <c r="H285" s="25" t="str">
        <f t="shared" si="13"/>
        <v>#{msg['LBL_PC_ACAO.label']}</v>
      </c>
      <c r="I285" s="25" t="str">
        <f t="shared" si="14"/>
        <v>#{msg['LBL_PC_ACAO.hint']}</v>
      </c>
    </row>
    <row r="286" spans="1:9" x14ac:dyDescent="0.25">
      <c r="A286" s="2">
        <f t="shared" si="12"/>
        <v>280</v>
      </c>
      <c r="C286" s="2">
        <v>4</v>
      </c>
      <c r="D286" s="2" t="str">
        <f>VLOOKUP(C286,TB_FNX_TIPO_RESOURCE_BUNDLE!$A$7:$B$28,2,FALSE)</f>
        <v>Rótulo de entrada de texto</v>
      </c>
      <c r="E286" s="2" t="s">
        <v>1060</v>
      </c>
      <c r="F286" s="2" t="s">
        <v>964</v>
      </c>
      <c r="G286" s="25" t="s">
        <v>964</v>
      </c>
      <c r="H286" s="25" t="str">
        <f t="shared" si="13"/>
        <v>#{msg['LBL_PC_ACAO_EVENTO.label']}</v>
      </c>
      <c r="I286" s="25" t="str">
        <f t="shared" si="14"/>
        <v>#{msg['LBL_PC_ACAO_EVENTO.hint']}</v>
      </c>
    </row>
    <row r="287" spans="1:9" x14ac:dyDescent="0.25">
      <c r="A287" s="2">
        <f t="shared" si="12"/>
        <v>281</v>
      </c>
      <c r="C287" s="2">
        <v>4</v>
      </c>
      <c r="D287" s="2" t="str">
        <f>VLOOKUP(C287,TB_FNX_TIPO_RESOURCE_BUNDLE!$A$7:$B$28,2,FALSE)</f>
        <v>Rótulo de entrada de texto</v>
      </c>
      <c r="E287" s="2" t="s">
        <v>1059</v>
      </c>
      <c r="F287" s="2" t="s">
        <v>963</v>
      </c>
      <c r="G287" s="25" t="s">
        <v>963</v>
      </c>
      <c r="H287" s="25" t="str">
        <f t="shared" si="13"/>
        <v>#{msg['LBL_PC_ACOES_ENVOLVIDAS.label']}</v>
      </c>
      <c r="I287" s="25" t="str">
        <f t="shared" si="14"/>
        <v>#{msg['LBL_PC_ACOES_ENVOLVIDAS.hint']}</v>
      </c>
    </row>
    <row r="288" spans="1:9" x14ac:dyDescent="0.25">
      <c r="A288" s="2">
        <f t="shared" si="12"/>
        <v>282</v>
      </c>
      <c r="C288" s="2">
        <v>4</v>
      </c>
      <c r="D288" s="2" t="str">
        <f>VLOOKUP(C288,TB_FNX_TIPO_RESOURCE_BUNDLE!$A$7:$B$28,2,FALSE)</f>
        <v>Rótulo de entrada de texto</v>
      </c>
      <c r="E288" s="2" t="s">
        <v>1076</v>
      </c>
      <c r="F288" s="2" t="s">
        <v>973</v>
      </c>
      <c r="G288" s="25" t="s">
        <v>1078</v>
      </c>
      <c r="H288" s="25" t="str">
        <f t="shared" si="13"/>
        <v>#{msg['LBL_PC_ANO.label']}</v>
      </c>
      <c r="I288" s="25" t="str">
        <f t="shared" si="14"/>
        <v>#{msg['LBL_PC_ANO.hint']}</v>
      </c>
    </row>
    <row r="289" spans="1:9" x14ac:dyDescent="0.25">
      <c r="A289" s="2">
        <f t="shared" si="12"/>
        <v>283</v>
      </c>
      <c r="C289" s="2">
        <v>4</v>
      </c>
      <c r="D289" s="2" t="str">
        <f>VLOOKUP(C289,TB_FNX_TIPO_RESOURCE_BUNDLE!$A$7:$B$28,2,FALSE)</f>
        <v>Rótulo de entrada de texto</v>
      </c>
      <c r="E289" s="2" t="s">
        <v>1027</v>
      </c>
      <c r="F289" s="2" t="s">
        <v>942</v>
      </c>
      <c r="G289" s="25" t="s">
        <v>942</v>
      </c>
      <c r="H289" s="25" t="str">
        <f t="shared" si="13"/>
        <v>#{msg['LBL_PC_APEX_BRASIL.label']}</v>
      </c>
      <c r="I289" s="25" t="str">
        <f t="shared" si="14"/>
        <v>#{msg['LBL_PC_APEX_BRASIL.hint']}</v>
      </c>
    </row>
    <row r="290" spans="1:9" x14ac:dyDescent="0.25">
      <c r="A290" s="2">
        <f t="shared" si="12"/>
        <v>284</v>
      </c>
      <c r="C290" s="2">
        <v>4</v>
      </c>
      <c r="D290" s="2" t="str">
        <f>VLOOKUP(C290,TB_FNX_TIPO_RESOURCE_BUNDLE!$A$7:$B$28,2,FALSE)</f>
        <v>Rótulo de entrada de texto</v>
      </c>
      <c r="E290" s="2" t="s">
        <v>1052</v>
      </c>
      <c r="F290" s="2" t="s">
        <v>957</v>
      </c>
      <c r="G290" s="25" t="s">
        <v>957</v>
      </c>
      <c r="H290" s="25" t="str">
        <f t="shared" si="13"/>
        <v>#{msg['LBL_PC_ARQUIVOS.label']}</v>
      </c>
      <c r="I290" s="25" t="str">
        <f t="shared" si="14"/>
        <v>#{msg['LBL_PC_ARQUIVOS.hint']}</v>
      </c>
    </row>
    <row r="291" spans="1:9" x14ac:dyDescent="0.25">
      <c r="A291" s="2">
        <f t="shared" si="12"/>
        <v>285</v>
      </c>
      <c r="C291" s="2">
        <v>4</v>
      </c>
      <c r="D291" s="2" t="str">
        <f>VLOOKUP(C291,TB_FNX_TIPO_RESOURCE_BUNDLE!$A$7:$B$28,2,FALSE)</f>
        <v>Rótulo de entrada de texto</v>
      </c>
      <c r="E291" s="2" t="s">
        <v>1056</v>
      </c>
      <c r="F291" s="2" t="s">
        <v>961</v>
      </c>
      <c r="G291" s="25" t="s">
        <v>961</v>
      </c>
      <c r="H291" s="25" t="str">
        <f t="shared" si="13"/>
        <v>#{msg['LBL_PC_ARQUIVOS_COMPROVANTES.label']}</v>
      </c>
      <c r="I291" s="25" t="str">
        <f t="shared" si="14"/>
        <v>#{msg['LBL_PC_ARQUIVOS_COMPROVANTES.hint']}</v>
      </c>
    </row>
    <row r="292" spans="1:9" x14ac:dyDescent="0.25">
      <c r="A292" s="2">
        <f t="shared" si="12"/>
        <v>286</v>
      </c>
      <c r="C292" s="2">
        <v>4</v>
      </c>
      <c r="D292" s="2" t="str">
        <f>VLOOKUP(C292,TB_FNX_TIPO_RESOURCE_BUNDLE!$A$7:$B$28,2,FALSE)</f>
        <v>Rótulo de entrada de texto</v>
      </c>
      <c r="E292" s="2" t="s">
        <v>1055</v>
      </c>
      <c r="F292" s="2" t="s">
        <v>960</v>
      </c>
      <c r="G292" s="25" t="s">
        <v>960</v>
      </c>
      <c r="H292" s="25" t="str">
        <f t="shared" si="13"/>
        <v>#{msg['LBL_PC_AUDITORIA_EXTERNA.label']}</v>
      </c>
      <c r="I292" s="25" t="str">
        <f t="shared" si="14"/>
        <v>#{msg['LBL_PC_AUDITORIA_EXTERNA.hint']}</v>
      </c>
    </row>
    <row r="293" spans="1:9" x14ac:dyDescent="0.25">
      <c r="A293" s="2">
        <f t="shared" si="12"/>
        <v>287</v>
      </c>
      <c r="C293" s="2">
        <v>4</v>
      </c>
      <c r="D293" s="2" t="str">
        <f>VLOOKUP(C293,TB_FNX_TIPO_RESOURCE_BUNDLE!$A$7:$B$28,2,FALSE)</f>
        <v>Rótulo de entrada de texto</v>
      </c>
      <c r="E293" s="2" t="s">
        <v>997</v>
      </c>
      <c r="F293" s="2" t="s">
        <v>916</v>
      </c>
      <c r="G293" s="25" t="s">
        <v>916</v>
      </c>
      <c r="H293" s="25" t="str">
        <f t="shared" si="13"/>
        <v>#{msg['LBL_PC_COMPOSICAO.label']}</v>
      </c>
      <c r="I293" s="25" t="str">
        <f t="shared" si="14"/>
        <v>#{msg['LBL_PC_COMPOSICAO.hint']}</v>
      </c>
    </row>
    <row r="294" spans="1:9" x14ac:dyDescent="0.25">
      <c r="A294" s="2">
        <f t="shared" si="12"/>
        <v>288</v>
      </c>
      <c r="C294" s="2">
        <v>4</v>
      </c>
      <c r="D294" s="2" t="str">
        <f>VLOOKUP(C294,TB_FNX_TIPO_RESOURCE_BUNDLE!$A$7:$B$28,2,FALSE)</f>
        <v>Rótulo de entrada de texto</v>
      </c>
      <c r="E294" s="2" t="s">
        <v>998</v>
      </c>
      <c r="F294" s="2" t="s">
        <v>917</v>
      </c>
      <c r="G294" s="25" t="s">
        <v>917</v>
      </c>
      <c r="H294" s="25" t="str">
        <f t="shared" si="13"/>
        <v>#{msg['LBL_PC_CONSULTA_COMPOS.label']}</v>
      </c>
      <c r="I294" s="25" t="str">
        <f t="shared" si="14"/>
        <v>#{msg['LBL_PC_CONSULTA_COMPOS.hint']}</v>
      </c>
    </row>
    <row r="295" spans="1:9" x14ac:dyDescent="0.25">
      <c r="A295" s="2">
        <f t="shared" si="12"/>
        <v>289</v>
      </c>
      <c r="C295" s="2">
        <v>4</v>
      </c>
      <c r="D295" s="2" t="str">
        <f>VLOOKUP(C295,TB_FNX_TIPO_RESOURCE_BUNDLE!$A$7:$B$28,2,FALSE)</f>
        <v>Rótulo de entrada de texto</v>
      </c>
      <c r="E295" s="2" t="s">
        <v>1069</v>
      </c>
      <c r="F295" s="2" t="s">
        <v>1068</v>
      </c>
      <c r="G295" s="25" t="s">
        <v>1068</v>
      </c>
      <c r="H295" s="25" t="str">
        <f t="shared" si="13"/>
        <v>#{msg['LBL_PC_CONTRATOS_COMERCIAIS.label']}</v>
      </c>
      <c r="I295" s="25" t="str">
        <f t="shared" si="14"/>
        <v>#{msg['LBL_PC_CONTRATOS_COMERCIAIS.hint']}</v>
      </c>
    </row>
    <row r="296" spans="1:9" x14ac:dyDescent="0.25">
      <c r="A296" s="2">
        <f t="shared" si="12"/>
        <v>290</v>
      </c>
      <c r="C296" s="2">
        <v>4</v>
      </c>
      <c r="D296" s="2" t="str">
        <f>VLOOKUP(C296,TB_FNX_TIPO_RESOURCE_BUNDLE!$A$7:$B$28,2,FALSE)</f>
        <v>Rótulo de entrada de texto</v>
      </c>
      <c r="E296" s="2" t="s">
        <v>1026</v>
      </c>
      <c r="F296" s="2" t="s">
        <v>941</v>
      </c>
      <c r="G296" s="2" t="s">
        <v>941</v>
      </c>
      <c r="H296" s="25" t="str">
        <f t="shared" si="13"/>
        <v>#{msg['LBL_PC_CPARTIDA.label']}</v>
      </c>
      <c r="I296" s="25" t="str">
        <f t="shared" si="14"/>
        <v>#{msg['LBL_PC_CPARTIDA.hint']}</v>
      </c>
    </row>
    <row r="297" spans="1:9" x14ac:dyDescent="0.25">
      <c r="A297" s="2">
        <f t="shared" si="12"/>
        <v>291</v>
      </c>
      <c r="C297" s="2">
        <v>4</v>
      </c>
      <c r="D297" s="2" t="str">
        <f>VLOOKUP(C297,TB_FNX_TIPO_RESOURCE_BUNDLE!$A$7:$B$28,2,FALSE)</f>
        <v>Rótulo de entrada de texto</v>
      </c>
      <c r="E297" s="2" t="s">
        <v>1013</v>
      </c>
      <c r="F297" s="2" t="s">
        <v>930</v>
      </c>
      <c r="G297" s="25" t="s">
        <v>1014</v>
      </c>
      <c r="H297" s="25" t="str">
        <f t="shared" si="13"/>
        <v>#{msg['LBL_PC_DATA.label']}</v>
      </c>
      <c r="I297" s="25" t="str">
        <f t="shared" si="14"/>
        <v>#{msg['LBL_PC_DATA.hint']}</v>
      </c>
    </row>
    <row r="298" spans="1:9" x14ac:dyDescent="0.25">
      <c r="A298" s="2">
        <f t="shared" si="12"/>
        <v>292</v>
      </c>
      <c r="C298" s="2">
        <v>4</v>
      </c>
      <c r="D298" s="2" t="str">
        <f>VLOOKUP(C298,TB_FNX_TIPO_RESOURCE_BUNDLE!$A$7:$B$28,2,FALSE)</f>
        <v>Rótulo de entrada de texto</v>
      </c>
      <c r="E298" s="2" t="s">
        <v>1039</v>
      </c>
      <c r="F298" s="2" t="s">
        <v>1042</v>
      </c>
      <c r="G298" s="2" t="s">
        <v>1042</v>
      </c>
      <c r="H298" s="25" t="str">
        <f t="shared" si="13"/>
        <v>#{msg['LBL_PC_DESEMB_PREVISTO.label']}</v>
      </c>
      <c r="I298" s="25" t="str">
        <f t="shared" si="14"/>
        <v>#{msg['LBL_PC_DESEMB_PREVISTO.hint']}</v>
      </c>
    </row>
    <row r="299" spans="1:9" x14ac:dyDescent="0.25">
      <c r="A299" s="2">
        <f t="shared" si="12"/>
        <v>293</v>
      </c>
      <c r="C299" s="2">
        <v>4</v>
      </c>
      <c r="D299" s="2" t="str">
        <f>VLOOKUP(C299,TB_FNX_TIPO_RESOURCE_BUNDLE!$A$7:$B$28,2,FALSE)</f>
        <v>Rótulo de entrada de texto</v>
      </c>
      <c r="E299" s="2" t="s">
        <v>1038</v>
      </c>
      <c r="F299" s="2" t="s">
        <v>1043</v>
      </c>
      <c r="G299" s="25" t="s">
        <v>1043</v>
      </c>
      <c r="H299" s="25" t="str">
        <f t="shared" si="13"/>
        <v>#{msg['LBL_PC_DESEMB_REALIZADO.label']}</v>
      </c>
      <c r="I299" s="25" t="str">
        <f t="shared" si="14"/>
        <v>#{msg['LBL_PC_DESEMB_REALIZADO.hint']}</v>
      </c>
    </row>
    <row r="300" spans="1:9" x14ac:dyDescent="0.25">
      <c r="A300" s="2">
        <f t="shared" si="12"/>
        <v>294</v>
      </c>
      <c r="C300" s="2">
        <v>4</v>
      </c>
      <c r="D300" s="2" t="str">
        <f>VLOOKUP(C300,TB_FNX_TIPO_RESOURCE_BUNDLE!$A$7:$B$28,2,FALSE)</f>
        <v>Rótulo de entrada de texto</v>
      </c>
      <c r="E300" s="2" t="s">
        <v>1036</v>
      </c>
      <c r="F300" s="2" t="s">
        <v>952</v>
      </c>
      <c r="G300" s="2" t="s">
        <v>952</v>
      </c>
      <c r="H300" s="25" t="str">
        <f t="shared" si="13"/>
        <v>#{msg['LBL_PC_DIVERGENCIA.label']}</v>
      </c>
      <c r="I300" s="25" t="str">
        <f t="shared" si="14"/>
        <v>#{msg['LBL_PC_DIVERGENCIA.hint']}</v>
      </c>
    </row>
    <row r="301" spans="1:9" x14ac:dyDescent="0.25">
      <c r="A301" s="2">
        <f t="shared" si="12"/>
        <v>295</v>
      </c>
      <c r="C301" s="2">
        <v>4</v>
      </c>
      <c r="D301" s="2" t="str">
        <f>VLOOKUP(C301,TB_FNX_TIPO_RESOURCE_BUNDLE!$A$7:$B$28,2,FALSE)</f>
        <v>Rótulo de entrada de texto</v>
      </c>
      <c r="E301" s="2" t="s">
        <v>995</v>
      </c>
      <c r="F301" s="2" t="s">
        <v>911</v>
      </c>
      <c r="G301" s="2" t="s">
        <v>911</v>
      </c>
      <c r="H301" s="25" t="str">
        <f t="shared" si="13"/>
        <v>#{msg['LBL_PC_DT_FIM_APLIC.label']}</v>
      </c>
      <c r="I301" s="25" t="str">
        <f t="shared" si="14"/>
        <v>#{msg['LBL_PC_DT_FIM_APLIC.hint']}</v>
      </c>
    </row>
    <row r="302" spans="1:9" x14ac:dyDescent="0.25">
      <c r="A302" s="2">
        <f t="shared" si="12"/>
        <v>296</v>
      </c>
      <c r="C302" s="2">
        <v>4</v>
      </c>
      <c r="D302" s="2" t="str">
        <f>VLOOKUP(C302,TB_FNX_TIPO_RESOURCE_BUNDLE!$A$7:$B$28,2,FALSE)</f>
        <v>Rótulo de entrada de texto</v>
      </c>
      <c r="E302" s="2" t="s">
        <v>994</v>
      </c>
      <c r="F302" s="2" t="s">
        <v>910</v>
      </c>
      <c r="G302" s="2" t="s">
        <v>910</v>
      </c>
      <c r="H302" s="25" t="str">
        <f t="shared" si="13"/>
        <v>#{msg['LBL_PC_DT_INICIO_APLIC.label']}</v>
      </c>
      <c r="I302" s="25" t="str">
        <f t="shared" si="14"/>
        <v>#{msg['LBL_PC_DT_INICIO_APLIC.hint']}</v>
      </c>
    </row>
    <row r="303" spans="1:9" x14ac:dyDescent="0.25">
      <c r="A303" s="2">
        <f t="shared" si="12"/>
        <v>297</v>
      </c>
      <c r="C303" s="2">
        <v>4</v>
      </c>
      <c r="D303" s="2" t="str">
        <f>VLOOKUP(C303,TB_FNX_TIPO_RESOURCE_BUNDLE!$A$7:$B$28,2,FALSE)</f>
        <v>Rótulo de entrada de texto</v>
      </c>
      <c r="E303" s="2" t="s">
        <v>1005</v>
      </c>
      <c r="F303" s="2" t="s">
        <v>923</v>
      </c>
      <c r="G303" s="2" t="s">
        <v>923</v>
      </c>
      <c r="H303" s="25" t="str">
        <f t="shared" si="13"/>
        <v>#{msg['LBL_PC_ESPEC_SERVICOS.label']}</v>
      </c>
      <c r="I303" s="25" t="str">
        <f t="shared" si="14"/>
        <v>#{msg['LBL_PC_ESPEC_SERVICOS.hint']}</v>
      </c>
    </row>
    <row r="304" spans="1:9" x14ac:dyDescent="0.25">
      <c r="A304" s="2">
        <f t="shared" si="12"/>
        <v>298</v>
      </c>
      <c r="C304" s="2">
        <v>4</v>
      </c>
      <c r="D304" s="2" t="str">
        <f>VLOOKUP(C304,TB_FNX_TIPO_RESOURCE_BUNDLE!$A$7:$B$28,2,FALSE)</f>
        <v>Rótulo de entrada de texto</v>
      </c>
      <c r="E304" s="2" t="s">
        <v>1054</v>
      </c>
      <c r="F304" s="2" t="s">
        <v>959</v>
      </c>
      <c r="G304" s="25" t="s">
        <v>959</v>
      </c>
      <c r="H304" s="25" t="str">
        <f t="shared" si="13"/>
        <v>#{msg['LBL_PC_EXTRATO_APLIC.label']}</v>
      </c>
      <c r="I304" s="25" t="str">
        <f t="shared" si="14"/>
        <v>#{msg['LBL_PC_EXTRATO_APLIC.hint']}</v>
      </c>
    </row>
    <row r="305" spans="1:9" x14ac:dyDescent="0.25">
      <c r="A305" s="2">
        <f t="shared" si="12"/>
        <v>299</v>
      </c>
      <c r="C305" s="2">
        <v>4</v>
      </c>
      <c r="D305" s="2" t="str">
        <f>VLOOKUP(C305,TB_FNX_TIPO_RESOURCE_BUNDLE!$A$7:$B$28,2,FALSE)</f>
        <v>Rótulo de entrada de texto</v>
      </c>
      <c r="E305" s="2" t="s">
        <v>1053</v>
      </c>
      <c r="F305" s="2" t="s">
        <v>958</v>
      </c>
      <c r="G305" s="25" t="s">
        <v>958</v>
      </c>
      <c r="H305" s="25" t="str">
        <f t="shared" si="13"/>
        <v>#{msg['LBL_PC_EXTRATO_CC.label']}</v>
      </c>
      <c r="I305" s="25" t="str">
        <f t="shared" si="14"/>
        <v>#{msg['LBL_PC_EXTRATO_CC.hint']}</v>
      </c>
    </row>
    <row r="306" spans="1:9" x14ac:dyDescent="0.25">
      <c r="A306" s="2">
        <f t="shared" si="12"/>
        <v>300</v>
      </c>
      <c r="C306" s="2">
        <v>4</v>
      </c>
      <c r="D306" s="2" t="str">
        <f>VLOOKUP(C306,TB_FNX_TIPO_RESOURCE_BUNDLE!$A$7:$B$28,2,FALSE)</f>
        <v>Rótulo de entrada de texto</v>
      </c>
      <c r="E306" s="2" t="s">
        <v>1008</v>
      </c>
      <c r="F306" s="2" t="s">
        <v>925</v>
      </c>
      <c r="G306" s="25" t="s">
        <v>925</v>
      </c>
      <c r="H306" s="25" t="str">
        <f t="shared" si="13"/>
        <v>#{msg['LBL_PC_FINANCEIRA.label']}</v>
      </c>
      <c r="I306" s="25" t="str">
        <f t="shared" si="14"/>
        <v>#{msg['LBL_PC_FINANCEIRA.hint']}</v>
      </c>
    </row>
    <row r="307" spans="1:9" x14ac:dyDescent="0.25">
      <c r="A307" s="2">
        <f t="shared" si="12"/>
        <v>301</v>
      </c>
      <c r="C307" s="2">
        <v>4</v>
      </c>
      <c r="D307" s="2" t="str">
        <f>VLOOKUP(C307,TB_FNX_TIPO_RESOURCE_BUNDLE!$A$7:$B$28,2,FALSE)</f>
        <v>Rótulo de entrada de texto</v>
      </c>
      <c r="E307" s="2" t="s">
        <v>1075</v>
      </c>
      <c r="F307" s="2" t="s">
        <v>972</v>
      </c>
      <c r="G307" s="25" t="s">
        <v>972</v>
      </c>
      <c r="H307" s="25" t="str">
        <f t="shared" si="13"/>
        <v>#{msg['LBL_PC_INDICADOR.label']}</v>
      </c>
      <c r="I307" s="25" t="str">
        <f t="shared" si="14"/>
        <v>#{msg['LBL_PC_INDICADOR.hint']}</v>
      </c>
    </row>
    <row r="308" spans="1:9" x14ac:dyDescent="0.25">
      <c r="A308" s="2">
        <f t="shared" si="12"/>
        <v>302</v>
      </c>
      <c r="C308" s="2">
        <v>4</v>
      </c>
      <c r="D308" s="2" t="str">
        <f>VLOOKUP(C308,TB_FNX_TIPO_RESOURCE_BUNDLE!$A$7:$B$28,2,FALSE)</f>
        <v>Rótulo de entrada de texto</v>
      </c>
      <c r="E308" s="2" t="s">
        <v>1048</v>
      </c>
      <c r="F308" s="2" t="s">
        <v>955</v>
      </c>
      <c r="G308" s="25" t="s">
        <v>955</v>
      </c>
      <c r="H308" s="25" t="str">
        <f t="shared" si="13"/>
        <v>#{msg['LBL_PC_INDICE_REAL_CPARTIDA.label']}</v>
      </c>
      <c r="I308" s="25" t="str">
        <f t="shared" si="14"/>
        <v>#{msg['LBL_PC_INDICE_REAL_CPARTIDA.hint']}</v>
      </c>
    </row>
    <row r="309" spans="1:9" x14ac:dyDescent="0.25">
      <c r="A309" s="2">
        <f t="shared" si="12"/>
        <v>303</v>
      </c>
      <c r="C309" s="2">
        <v>4</v>
      </c>
      <c r="D309" s="2" t="str">
        <f>VLOOKUP(C309,TB_FNX_TIPO_RESOURCE_BUNDLE!$A$7:$B$28,2,FALSE)</f>
        <v>Rótulo de entrada de texto</v>
      </c>
      <c r="E309" s="2" t="s">
        <v>1047</v>
      </c>
      <c r="F309" s="2" t="s">
        <v>953</v>
      </c>
      <c r="G309" s="25" t="s">
        <v>953</v>
      </c>
      <c r="H309" s="25" t="str">
        <f t="shared" si="13"/>
        <v>#{msg['LBL_PC_INDICE_REALIZACAO_APEX.label']}</v>
      </c>
      <c r="I309" s="25" t="str">
        <f t="shared" si="14"/>
        <v>#{msg['LBL_PC_INDICE_REALIZACAO_APEX.hint']}</v>
      </c>
    </row>
    <row r="310" spans="1:9" x14ac:dyDescent="0.25">
      <c r="A310" s="2">
        <f t="shared" si="12"/>
        <v>304</v>
      </c>
      <c r="C310" s="2">
        <v>4</v>
      </c>
      <c r="D310" s="2" t="str">
        <f>VLOOKUP(C310,TB_FNX_TIPO_RESOURCE_BUNDLE!$A$7:$B$28,2,FALSE)</f>
        <v>Rótulo de entrada de texto</v>
      </c>
      <c r="E310" s="25" t="s">
        <v>1004</v>
      </c>
      <c r="F310" s="2" t="s">
        <v>922</v>
      </c>
      <c r="G310" s="25" t="s">
        <v>922</v>
      </c>
      <c r="H310" s="25" t="str">
        <f t="shared" si="13"/>
        <v>#{msg['LBL_PC_ITEM_ORCAMENT.label']}</v>
      </c>
      <c r="I310" s="25" t="str">
        <f t="shared" si="14"/>
        <v>#{msg['LBL_PC_ITEM_ORCAMENT.hint']}</v>
      </c>
    </row>
    <row r="311" spans="1:9" x14ac:dyDescent="0.25">
      <c r="A311" s="2">
        <f t="shared" si="12"/>
        <v>305</v>
      </c>
      <c r="C311" s="2">
        <v>4</v>
      </c>
      <c r="D311" s="2" t="str">
        <f>VLOOKUP(C311,TB_FNX_TIPO_RESOURCE_BUNDLE!$A$7:$B$28,2,FALSE)</f>
        <v>Rótulo de entrada de texto</v>
      </c>
      <c r="E311" s="25" t="s">
        <v>1040</v>
      </c>
      <c r="F311" s="2" t="s">
        <v>2473</v>
      </c>
      <c r="G311" s="25" t="s">
        <v>2473</v>
      </c>
      <c r="H311" s="25" t="str">
        <f t="shared" si="13"/>
        <v>#{msg['LBL_PC_LANCADO_PC.label']}</v>
      </c>
      <c r="I311" s="25" t="str">
        <f t="shared" si="14"/>
        <v>#{msg['LBL_PC_LANCADO_PC.hint']}</v>
      </c>
    </row>
    <row r="312" spans="1:9" x14ac:dyDescent="0.25">
      <c r="A312" s="2">
        <f t="shared" si="12"/>
        <v>306</v>
      </c>
      <c r="C312" s="2">
        <v>4</v>
      </c>
      <c r="D312" s="2" t="str">
        <f>VLOOKUP(C312,TB_FNX_TIPO_RESOURCE_BUNDLE!$A$7:$B$28,2,FALSE)</f>
        <v>Rótulo de entrada de texto</v>
      </c>
      <c r="E312" s="25" t="s">
        <v>1000</v>
      </c>
      <c r="F312" s="2" t="s">
        <v>919</v>
      </c>
      <c r="G312" s="25" t="s">
        <v>919</v>
      </c>
      <c r="H312" s="25" t="str">
        <f t="shared" si="13"/>
        <v>#{msg['LBL_PC_LANCAMENTOS.label']}</v>
      </c>
      <c r="I312" s="25" t="str">
        <f t="shared" si="14"/>
        <v>#{msg['LBL_PC_LANCAMENTOS.hint']}</v>
      </c>
    </row>
    <row r="313" spans="1:9" x14ac:dyDescent="0.25">
      <c r="A313" s="2">
        <f t="shared" si="12"/>
        <v>307</v>
      </c>
      <c r="C313" s="2">
        <v>4</v>
      </c>
      <c r="D313" s="2" t="str">
        <f>VLOOKUP(C313,TB_FNX_TIPO_RESOURCE_BUNDLE!$A$7:$B$28,2,FALSE)</f>
        <v>Rótulo de entrada de texto</v>
      </c>
      <c r="E313" s="2" t="s">
        <v>1002</v>
      </c>
      <c r="F313" s="2" t="s">
        <v>920</v>
      </c>
      <c r="G313" s="25" t="s">
        <v>920</v>
      </c>
      <c r="H313" s="25" t="str">
        <f t="shared" si="13"/>
        <v>#{msg['LBL_PC_LANCAMENTOS_COMPOS.label']}</v>
      </c>
      <c r="I313" s="25" t="str">
        <f t="shared" si="14"/>
        <v>#{msg['LBL_PC_LANCAMENTOS_COMPOS.hint']}</v>
      </c>
    </row>
    <row r="314" spans="1:9" x14ac:dyDescent="0.25">
      <c r="A314" s="2">
        <f t="shared" si="12"/>
        <v>308</v>
      </c>
      <c r="C314" s="2">
        <v>4</v>
      </c>
      <c r="D314" s="2" t="str">
        <f>VLOOKUP(C314,TB_FNX_TIPO_RESOURCE_BUNDLE!$A$7:$B$28,2,FALSE)</f>
        <v>Rótulo de entrada de texto</v>
      </c>
      <c r="E314" s="2" t="s">
        <v>1061</v>
      </c>
      <c r="F314" s="2" t="s">
        <v>965</v>
      </c>
      <c r="G314" s="25" t="s">
        <v>965</v>
      </c>
      <c r="H314" s="25" t="str">
        <f t="shared" si="13"/>
        <v>#{msg['LBL_PC_LOCAL.label']}</v>
      </c>
      <c r="I314" s="25" t="str">
        <f t="shared" si="14"/>
        <v>#{msg['LBL_PC_LOCAL.hint']}</v>
      </c>
    </row>
    <row r="315" spans="1:9" x14ac:dyDescent="0.25">
      <c r="A315" s="2">
        <f t="shared" si="12"/>
        <v>309</v>
      </c>
      <c r="C315" s="2">
        <v>4</v>
      </c>
      <c r="D315" s="2" t="str">
        <f>VLOOKUP(C315,TB_FNX_TIPO_RESOURCE_BUNDLE!$A$7:$B$28,2,FALSE)</f>
        <v>Rótulo de entrada de texto</v>
      </c>
      <c r="E315" s="25" t="s">
        <v>1074</v>
      </c>
      <c r="F315" s="2" t="s">
        <v>971</v>
      </c>
      <c r="G315" s="25" t="s">
        <v>971</v>
      </c>
      <c r="H315" s="25" t="str">
        <f t="shared" si="13"/>
        <v>#{msg['LBL_PC_METAS_ALCANCADAS.label']}</v>
      </c>
      <c r="I315" s="25" t="str">
        <f t="shared" si="14"/>
        <v>#{msg['LBL_PC_METAS_ALCANCADAS.hint']}</v>
      </c>
    </row>
    <row r="316" spans="1:9" x14ac:dyDescent="0.25">
      <c r="A316" s="2">
        <f t="shared" si="12"/>
        <v>310</v>
      </c>
      <c r="C316" s="2">
        <v>4</v>
      </c>
      <c r="D316" s="2" t="str">
        <f>VLOOKUP(C316,TB_FNX_TIPO_RESOURCE_BUNDLE!$A$7:$B$28,2,FALSE)</f>
        <v>Rótulo de entrada de texto</v>
      </c>
      <c r="E316" s="25" t="s">
        <v>1072</v>
      </c>
      <c r="F316" s="2" t="s">
        <v>969</v>
      </c>
      <c r="G316" s="25" t="s">
        <v>969</v>
      </c>
      <c r="H316" s="25" t="str">
        <f t="shared" si="13"/>
        <v>#{msg['LBL_PC_NEGOCIO_REAL_US.label']}</v>
      </c>
      <c r="I316" s="25" t="str">
        <f t="shared" si="14"/>
        <v>#{msg['LBL_PC_NEGOCIO_REAL_US.hint']}</v>
      </c>
    </row>
    <row r="317" spans="1:9" x14ac:dyDescent="0.25">
      <c r="A317" s="25">
        <f t="shared" si="12"/>
        <v>311</v>
      </c>
      <c r="B317" s="25"/>
      <c r="C317" s="25">
        <v>4</v>
      </c>
      <c r="D317" s="25" t="str">
        <f>VLOOKUP(C317,TB_FNX_TIPO_RESOURCE_BUNDLE!$A$7:$B$28,2,FALSE)</f>
        <v>Rótulo de entrada de texto</v>
      </c>
      <c r="E317" s="25" t="s">
        <v>1073</v>
      </c>
      <c r="F317" s="2" t="s">
        <v>970</v>
      </c>
      <c r="G317" s="25" t="s">
        <v>970</v>
      </c>
      <c r="H317" s="25" t="str">
        <f t="shared" si="13"/>
        <v>#{msg['LBL_PC_NEGOCIOS_ESPERADOS_US.label']}</v>
      </c>
      <c r="I317" s="25" t="str">
        <f t="shared" si="14"/>
        <v>#{msg['LBL_PC_NEGOCIOS_ESPERADOS_US.hint']}</v>
      </c>
    </row>
    <row r="318" spans="1:9" s="25" customFormat="1" x14ac:dyDescent="0.25">
      <c r="A318" s="25">
        <f t="shared" si="12"/>
        <v>312</v>
      </c>
      <c r="C318" s="25">
        <v>4</v>
      </c>
      <c r="D318" s="25" t="str">
        <f>VLOOKUP(C318,TB_FNX_TIPO_RESOURCE_BUNDLE!$A$7:$B$28,2,FALSE)</f>
        <v>Rótulo de entrada de texto</v>
      </c>
      <c r="E318" s="25" t="s">
        <v>1065</v>
      </c>
      <c r="F318" s="25" t="s">
        <v>1088</v>
      </c>
      <c r="G318" s="25" t="s">
        <v>1088</v>
      </c>
      <c r="H318" s="25" t="str">
        <f t="shared" si="13"/>
        <v>#{msg['LBL_PC_NUM_EMPRESA_CONFIRM.label']}</v>
      </c>
      <c r="I318" s="25" t="str">
        <f t="shared" si="14"/>
        <v>#{msg['LBL_PC_NUM_EMPRESA_CONFIRM.hint']}</v>
      </c>
    </row>
    <row r="319" spans="1:9" s="25" customFormat="1" x14ac:dyDescent="0.25">
      <c r="A319" s="25">
        <f t="shared" si="12"/>
        <v>313</v>
      </c>
      <c r="C319" s="25">
        <v>4</v>
      </c>
      <c r="D319" s="25" t="str">
        <f>VLOOKUP(C319,TB_FNX_TIPO_RESOURCE_BUNDLE!$A$7:$B$28,2,FALSE)</f>
        <v>Rótulo de entrada de texto</v>
      </c>
      <c r="E319" s="25" t="s">
        <v>1064</v>
      </c>
      <c r="F319" s="25" t="s">
        <v>2038</v>
      </c>
      <c r="G319" s="25" t="s">
        <v>2039</v>
      </c>
      <c r="H319" s="25" t="str">
        <f t="shared" si="13"/>
        <v>#{msg['LBL_PC_NUM_EMPRESA_PREV.label']}</v>
      </c>
      <c r="I319" s="25" t="str">
        <f t="shared" si="14"/>
        <v>#{msg['LBL_PC_NUM_EMPRESA_PREV.hint']}</v>
      </c>
    </row>
    <row r="320" spans="1:9" x14ac:dyDescent="0.25">
      <c r="A320" s="25">
        <f t="shared" si="12"/>
        <v>314</v>
      </c>
      <c r="B320" s="25"/>
      <c r="C320" s="25">
        <v>4</v>
      </c>
      <c r="D320" s="25" t="str">
        <f>VLOOKUP(C320,TB_FNX_TIPO_RESOURCE_BUNDLE!$A$7:$B$28,2,FALSE)</f>
        <v>Rótulo de entrada de texto</v>
      </c>
      <c r="E320" s="25" t="s">
        <v>1037</v>
      </c>
      <c r="F320" s="25" t="s">
        <v>954</v>
      </c>
      <c r="G320" s="25" t="s">
        <v>954</v>
      </c>
      <c r="H320" s="25" t="str">
        <f t="shared" si="13"/>
        <v>#{msg['LBL_PC_NUM_PC.label']}</v>
      </c>
      <c r="I320" s="25" t="str">
        <f t="shared" si="14"/>
        <v>#{msg['LBL_PC_NUM_PC.hint']}</v>
      </c>
    </row>
    <row r="321" spans="1:9" x14ac:dyDescent="0.25">
      <c r="A321" s="25">
        <f t="shared" si="12"/>
        <v>315</v>
      </c>
      <c r="B321" s="25"/>
      <c r="C321" s="25">
        <v>4</v>
      </c>
      <c r="D321" s="25" t="str">
        <f>VLOOKUP(C321,TB_FNX_TIPO_RESOURCE_BUNDLE!$A$7:$B$28,2,FALSE)</f>
        <v>Rótulo de entrada de texto</v>
      </c>
      <c r="E321" s="25" t="s">
        <v>993</v>
      </c>
      <c r="F321" s="25" t="s">
        <v>909</v>
      </c>
      <c r="G321" s="25" t="s">
        <v>909</v>
      </c>
      <c r="H321" s="25" t="str">
        <f t="shared" si="13"/>
        <v>#{msg['LBL_PC_NUM_PRESTACAO.label']}</v>
      </c>
      <c r="I321" s="25" t="str">
        <f t="shared" si="14"/>
        <v>#{msg['LBL_PC_NUM_PRESTACAO.hint']}</v>
      </c>
    </row>
    <row r="322" spans="1:9" x14ac:dyDescent="0.25">
      <c r="A322" s="25">
        <f t="shared" si="12"/>
        <v>316</v>
      </c>
      <c r="B322" s="25"/>
      <c r="C322" s="25">
        <v>4</v>
      </c>
      <c r="D322" s="25" t="str">
        <f>VLOOKUP(C322,TB_FNX_TIPO_RESOURCE_BUNDLE!$A$7:$B$28,2,FALSE)</f>
        <v>Rótulo de entrada de texto</v>
      </c>
      <c r="E322" s="25" t="s">
        <v>1051</v>
      </c>
      <c r="F322" s="25" t="s">
        <v>956</v>
      </c>
      <c r="G322" s="25" t="s">
        <v>956</v>
      </c>
      <c r="H322" s="25" t="str">
        <f t="shared" si="13"/>
        <v>#{msg['LBL_PC_OBSERVACAO.label']}</v>
      </c>
      <c r="I322" s="25" t="str">
        <f t="shared" si="14"/>
        <v>#{msg['LBL_PC_OBSERVACAO.hint']}</v>
      </c>
    </row>
    <row r="323" spans="1:9" x14ac:dyDescent="0.25">
      <c r="A323" s="25">
        <f t="shared" si="12"/>
        <v>317</v>
      </c>
      <c r="B323" s="25"/>
      <c r="C323" s="25">
        <v>4</v>
      </c>
      <c r="D323" s="25" t="str">
        <f>VLOOKUP(C323,TB_FNX_TIPO_RESOURCE_BUNDLE!$A$7:$B$28,2,FALSE)</f>
        <v>Rótulo de entrada de texto</v>
      </c>
      <c r="E323" s="2" t="s">
        <v>1012</v>
      </c>
      <c r="F323" s="2" t="s">
        <v>929</v>
      </c>
      <c r="G323" s="25" t="s">
        <v>929</v>
      </c>
      <c r="H323" s="25" t="str">
        <f t="shared" si="13"/>
        <v>#{msg['LBL_PC_PARCELA_DESEMBOLSO.label']}</v>
      </c>
      <c r="I323" s="25" t="str">
        <f t="shared" si="14"/>
        <v>#{msg['LBL_PC_PARCELA_DESEMBOLSO.hint']}</v>
      </c>
    </row>
    <row r="324" spans="1:9" x14ac:dyDescent="0.25">
      <c r="A324" s="25">
        <f t="shared" si="12"/>
        <v>318</v>
      </c>
      <c r="B324" s="25"/>
      <c r="C324" s="25">
        <v>4</v>
      </c>
      <c r="D324" s="25" t="str">
        <f>VLOOKUP(C324,TB_FNX_TIPO_RESOURCE_BUNDLE!$A$7:$B$28,2,FALSE)</f>
        <v>Rótulo de entrada de texto</v>
      </c>
      <c r="E324" s="25" t="s">
        <v>1046</v>
      </c>
      <c r="F324" s="2" t="s">
        <v>1045</v>
      </c>
      <c r="G324" s="25" t="s">
        <v>1045</v>
      </c>
      <c r="H324" s="25" t="str">
        <f t="shared" si="13"/>
        <v>#{msg['LBL_PC_PERC_REAL_CONV.label']}</v>
      </c>
      <c r="I324" s="25" t="str">
        <f t="shared" si="14"/>
        <v>#{msg['LBL_PC_PERC_REAL_CONV.hint']}</v>
      </c>
    </row>
    <row r="325" spans="1:9" x14ac:dyDescent="0.25">
      <c r="A325" s="25">
        <f t="shared" si="12"/>
        <v>319</v>
      </c>
      <c r="B325" s="25"/>
      <c r="C325" s="25">
        <v>4</v>
      </c>
      <c r="D325" s="25" t="str">
        <f>VLOOKUP(C325,TB_FNX_TIPO_RESOURCE_BUNDLE!$A$7:$B$28,2,FALSE)</f>
        <v>Rótulo de entrada de texto</v>
      </c>
      <c r="E325" s="25" t="s">
        <v>1062</v>
      </c>
      <c r="F325" s="25" t="s">
        <v>966</v>
      </c>
      <c r="G325" s="25" t="s">
        <v>966</v>
      </c>
      <c r="H325" s="25" t="str">
        <f t="shared" si="13"/>
        <v>#{msg['LBL_PC_PERIODO.label']}</v>
      </c>
      <c r="I325" s="25" t="str">
        <f t="shared" si="14"/>
        <v>#{msg['LBL_PC_PERIODO.hint']}</v>
      </c>
    </row>
    <row r="326" spans="1:9" x14ac:dyDescent="0.25">
      <c r="A326" s="25">
        <f t="shared" si="12"/>
        <v>320</v>
      </c>
      <c r="B326" s="25"/>
      <c r="C326" s="25">
        <v>4</v>
      </c>
      <c r="D326" s="25" t="str">
        <f>VLOOKUP(C326,TB_FNX_TIPO_RESOURCE_BUNDLE!$A$7:$B$28,2,FALSE)</f>
        <v>Rótulo de entrada de texto</v>
      </c>
      <c r="E326" s="25" t="s">
        <v>986</v>
      </c>
      <c r="F326" s="25" t="s">
        <v>908</v>
      </c>
      <c r="G326" s="25" t="s">
        <v>908</v>
      </c>
      <c r="H326" s="25" t="str">
        <f t="shared" si="13"/>
        <v>#{msg['LBL_PC_PRESTACOES.label']}</v>
      </c>
      <c r="I326" s="25" t="str">
        <f t="shared" si="14"/>
        <v>#{msg['LBL_PC_PRESTACOES.hint']}</v>
      </c>
    </row>
    <row r="327" spans="1:9" x14ac:dyDescent="0.25">
      <c r="A327" s="25">
        <f t="shared" si="12"/>
        <v>321</v>
      </c>
      <c r="B327" s="25"/>
      <c r="C327" s="25">
        <v>4</v>
      </c>
      <c r="D327" s="25" t="str">
        <f>VLOOKUP(C327,TB_FNX_TIPO_RESOURCE_BUNDLE!$A$7:$B$28,2,FALSE)</f>
        <v>Rótulo de entrada de texto</v>
      </c>
      <c r="E327" s="25" t="s">
        <v>1066</v>
      </c>
      <c r="F327" s="2" t="s">
        <v>1358</v>
      </c>
      <c r="G327" s="25" t="s">
        <v>614</v>
      </c>
      <c r="H327" s="25" t="str">
        <f t="shared" si="13"/>
        <v>#{msg['LBL_PC_PREV.label']}</v>
      </c>
      <c r="I327" s="25" t="str">
        <f t="shared" si="14"/>
        <v>#{msg['LBL_PC_PREV.hint']}</v>
      </c>
    </row>
    <row r="328" spans="1:9" x14ac:dyDescent="0.25">
      <c r="A328" s="25">
        <f t="shared" ref="A328:A391" si="15">A327+1</f>
        <v>322</v>
      </c>
      <c r="B328" s="25"/>
      <c r="C328" s="25">
        <v>4</v>
      </c>
      <c r="D328" s="25" t="str">
        <f>VLOOKUP(C328,TB_FNX_TIPO_RESOURCE_BUNDLE!$A$7:$B$28,2,FALSE)</f>
        <v>Rótulo de entrada de texto</v>
      </c>
      <c r="E328" s="25" t="s">
        <v>1050</v>
      </c>
      <c r="F328" s="2" t="s">
        <v>1049</v>
      </c>
      <c r="G328" s="25" t="s">
        <v>1049</v>
      </c>
      <c r="H328" s="25" t="str">
        <f t="shared" ref="H328:H391" si="16">CONCATENATE("#{msg['",$E328,".label']}")</f>
        <v>#{msg['LBL_PC_PREVISTO_CPARTIDA.label']}</v>
      </c>
      <c r="I328" s="25" t="str">
        <f t="shared" ref="I328:I391" si="17">CONCATENATE("#{msg['",$E328,".hint']}")</f>
        <v>#{msg['LBL_PC_PREVISTO_CPARTIDA.hint']}</v>
      </c>
    </row>
    <row r="329" spans="1:9" x14ac:dyDescent="0.25">
      <c r="A329" s="25">
        <f t="shared" si="15"/>
        <v>323</v>
      </c>
      <c r="B329" s="25"/>
      <c r="C329" s="25">
        <v>4</v>
      </c>
      <c r="D329" s="25" t="str">
        <f>VLOOKUP(C329,TB_FNX_TIPO_RESOURCE_BUNDLE!$A$7:$B$28,2,FALSE)</f>
        <v>Rótulo de entrada de texto</v>
      </c>
      <c r="E329" s="25" t="s">
        <v>1071</v>
      </c>
      <c r="F329" s="2" t="s">
        <v>968</v>
      </c>
      <c r="G329" s="25" t="s">
        <v>968</v>
      </c>
      <c r="H329" s="25" t="str">
        <f t="shared" si="16"/>
        <v>#{msg['LBL_PC_QT_NEGOCIOS_ESPERADOS.label']}</v>
      </c>
      <c r="I329" s="25" t="str">
        <f t="shared" si="17"/>
        <v>#{msg['LBL_PC_QT_NEGOCIOS_ESPERADOS.hint']}</v>
      </c>
    </row>
    <row r="330" spans="1:9" x14ac:dyDescent="0.25">
      <c r="A330" s="25">
        <f t="shared" si="15"/>
        <v>324</v>
      </c>
      <c r="B330" s="25"/>
      <c r="C330" s="25">
        <v>4</v>
      </c>
      <c r="D330" s="25" t="str">
        <f>VLOOKUP(C330,TB_FNX_TIPO_RESOURCE_BUNDLE!$A$7:$B$28,2,FALSE)</f>
        <v>Rótulo de entrada de texto</v>
      </c>
      <c r="E330" s="25" t="s">
        <v>1070</v>
      </c>
      <c r="F330" s="2" t="s">
        <v>967</v>
      </c>
      <c r="G330" s="25" t="s">
        <v>967</v>
      </c>
      <c r="H330" s="25" t="str">
        <f t="shared" si="16"/>
        <v>#{msg['LBL_PC_QT_NEGOCIOS_REAL.label']}</v>
      </c>
      <c r="I330" s="25" t="str">
        <f t="shared" si="17"/>
        <v>#{msg['LBL_PC_QT_NEGOCIOS_REAL.hint']}</v>
      </c>
    </row>
    <row r="331" spans="1:9" x14ac:dyDescent="0.25">
      <c r="A331" s="25">
        <f t="shared" si="15"/>
        <v>325</v>
      </c>
      <c r="B331" s="25"/>
      <c r="C331" s="25">
        <v>4</v>
      </c>
      <c r="D331" s="25" t="str">
        <f>VLOOKUP(C331,TB_FNX_TIPO_RESOURCE_BUNDLE!$A$7:$B$28,2,FALSE)</f>
        <v>Rótulo de entrada de texto</v>
      </c>
      <c r="E331" s="25" t="s">
        <v>1001</v>
      </c>
      <c r="F331" s="2" t="s">
        <v>1474</v>
      </c>
      <c r="G331" s="25" t="s">
        <v>1474</v>
      </c>
      <c r="H331" s="25" t="str">
        <f t="shared" si="16"/>
        <v>#{msg['LBL_PC_QTD_ACAO.label']}</v>
      </c>
      <c r="I331" s="25" t="str">
        <f t="shared" si="17"/>
        <v>#{msg['LBL_PC_QTD_ACAO.hint']}</v>
      </c>
    </row>
    <row r="332" spans="1:9" x14ac:dyDescent="0.25">
      <c r="A332" s="25">
        <f t="shared" si="15"/>
        <v>326</v>
      </c>
      <c r="B332" s="25"/>
      <c r="C332" s="25">
        <v>4</v>
      </c>
      <c r="D332" s="25" t="str">
        <f>VLOOKUP(C332,TB_FNX_TIPO_RESOURCE_BUNDLE!$A$7:$B$28,2,FALSE)</f>
        <v>Rótulo de entrada de texto</v>
      </c>
      <c r="E332" s="25" t="s">
        <v>1067</v>
      </c>
      <c r="F332" s="2" t="s">
        <v>1360</v>
      </c>
      <c r="G332" s="25" t="s">
        <v>1359</v>
      </c>
      <c r="H332" s="25" t="str">
        <f t="shared" si="16"/>
        <v>#{msg['LBL_PC_REAL.label']}</v>
      </c>
      <c r="I332" s="25" t="str">
        <f t="shared" si="17"/>
        <v>#{msg['LBL_PC_REAL.hint']}</v>
      </c>
    </row>
    <row r="333" spans="1:9" ht="30" x14ac:dyDescent="0.25">
      <c r="A333" s="25">
        <f t="shared" si="15"/>
        <v>327</v>
      </c>
      <c r="B333" s="25"/>
      <c r="C333" s="25">
        <v>4</v>
      </c>
      <c r="D333" s="25" t="str">
        <f>VLOOKUP(C333,TB_FNX_TIPO_RESOURCE_BUNDLE!$A$7:$B$28,2,FALSE)</f>
        <v>Rótulo de entrada de texto</v>
      </c>
      <c r="E333" s="25" t="s">
        <v>1090</v>
      </c>
      <c r="F333" s="2" t="s">
        <v>1089</v>
      </c>
      <c r="G333" s="26" t="s">
        <v>1089</v>
      </c>
      <c r="H333" s="25" t="str">
        <f t="shared" si="16"/>
        <v>#{msg['LBL_PC_RELAT_EXEC_FISICA.label']}</v>
      </c>
      <c r="I333" s="25" t="str">
        <f t="shared" si="17"/>
        <v>#{msg['LBL_PC_RELAT_EXEC_FISICA.hint']}</v>
      </c>
    </row>
    <row r="334" spans="1:9" x14ac:dyDescent="0.25">
      <c r="A334" s="25">
        <f t="shared" si="15"/>
        <v>328</v>
      </c>
      <c r="B334" s="25"/>
      <c r="C334" s="25">
        <v>4</v>
      </c>
      <c r="D334" s="25" t="str">
        <f>VLOOKUP(C334,TB_FNX_TIPO_RESOURCE_BUNDLE!$A$7:$B$28,2,FALSE)</f>
        <v>Rótulo de entrada de texto</v>
      </c>
      <c r="E334" s="25" t="s">
        <v>1035</v>
      </c>
      <c r="F334" s="2" t="s">
        <v>951</v>
      </c>
      <c r="G334" s="25" t="s">
        <v>951</v>
      </c>
      <c r="H334" s="25" t="str">
        <f t="shared" si="16"/>
        <v>#{msg['LBL_PC_SALDO_EXTRATO_CC.label']}</v>
      </c>
      <c r="I334" s="25" t="str">
        <f t="shared" si="17"/>
        <v>#{msg['LBL_PC_SALDO_EXTRATO_CC.hint']}</v>
      </c>
    </row>
    <row r="335" spans="1:9" x14ac:dyDescent="0.25">
      <c r="A335" s="25">
        <f t="shared" si="15"/>
        <v>329</v>
      </c>
      <c r="B335" s="25"/>
      <c r="C335" s="25">
        <v>4</v>
      </c>
      <c r="D335" s="25" t="str">
        <f>VLOOKUP(C335,TB_FNX_TIPO_RESOURCE_BUNDLE!$A$7:$B$28,2,FALSE)</f>
        <v>Rótulo de entrada de texto</v>
      </c>
      <c r="E335" s="25" t="s">
        <v>1041</v>
      </c>
      <c r="F335" s="2" t="s">
        <v>1044</v>
      </c>
      <c r="G335" s="25" t="s">
        <v>1044</v>
      </c>
      <c r="H335" s="25" t="str">
        <f t="shared" si="16"/>
        <v>#{msg['LBL_PC_SALDO_PARCELA_ANT.label']}</v>
      </c>
      <c r="I335" s="25" t="str">
        <f t="shared" si="17"/>
        <v>#{msg['LBL_PC_SALDO_PARCELA_ANT.hint']}</v>
      </c>
    </row>
    <row r="336" spans="1:9" x14ac:dyDescent="0.25">
      <c r="A336" s="25">
        <f t="shared" si="15"/>
        <v>330</v>
      </c>
      <c r="B336" s="25"/>
      <c r="C336" s="25">
        <v>4</v>
      </c>
      <c r="D336" s="25" t="str">
        <f>VLOOKUP(C336,TB_FNX_TIPO_RESOURCE_BUNDLE!$A$7:$B$28,2,FALSE)</f>
        <v>Rótulo de entrada de texto</v>
      </c>
      <c r="E336" s="25" t="s">
        <v>996</v>
      </c>
      <c r="F336" s="25" t="s">
        <v>137</v>
      </c>
      <c r="G336" s="25" t="s">
        <v>984</v>
      </c>
      <c r="H336" s="25" t="str">
        <f t="shared" si="16"/>
        <v>#{msg['LBL_PC_SITUACAO.label']}</v>
      </c>
      <c r="I336" s="25" t="str">
        <f t="shared" si="17"/>
        <v>#{msg['LBL_PC_SITUACAO.hint']}</v>
      </c>
    </row>
    <row r="337" spans="1:9" x14ac:dyDescent="0.25">
      <c r="A337" s="25">
        <f t="shared" si="15"/>
        <v>331</v>
      </c>
      <c r="B337" s="25"/>
      <c r="C337" s="25">
        <v>4</v>
      </c>
      <c r="D337" s="25" t="str">
        <f>VLOOKUP(C337,TB_FNX_TIPO_RESOURCE_BUNDLE!$A$7:$B$28,2,FALSE)</f>
        <v>Rótulo de entrada de texto</v>
      </c>
      <c r="E337" s="25" t="s">
        <v>1063</v>
      </c>
      <c r="F337" s="2" t="s">
        <v>617</v>
      </c>
      <c r="G337" s="25" t="s">
        <v>617</v>
      </c>
      <c r="H337" s="25" t="str">
        <f t="shared" si="16"/>
        <v>#{msg['LBL_PC_STATUS.label']}</v>
      </c>
      <c r="I337" s="25" t="str">
        <f t="shared" si="17"/>
        <v>#{msg['LBL_PC_STATUS.hint']}</v>
      </c>
    </row>
    <row r="338" spans="1:9" x14ac:dyDescent="0.25">
      <c r="A338" s="25">
        <f t="shared" si="15"/>
        <v>332</v>
      </c>
      <c r="B338" s="25"/>
      <c r="C338" s="25">
        <v>4</v>
      </c>
      <c r="D338" s="25" t="str">
        <f>VLOOKUP(C338,TB_FNX_TIPO_RESOURCE_BUNDLE!$A$7:$B$28,2,FALSE)</f>
        <v>Rótulo de entrada de texto</v>
      </c>
      <c r="E338" s="25" t="s">
        <v>1058</v>
      </c>
      <c r="F338" s="2" t="s">
        <v>962</v>
      </c>
      <c r="G338" s="25" t="s">
        <v>962</v>
      </c>
      <c r="H338" s="25" t="str">
        <f t="shared" si="16"/>
        <v>#{msg['LBL_PC_TECNICA.label']}</v>
      </c>
      <c r="I338" s="25" t="str">
        <f t="shared" si="17"/>
        <v>#{msg['LBL_PC_TECNICA.hint']}</v>
      </c>
    </row>
    <row r="339" spans="1:9" x14ac:dyDescent="0.25">
      <c r="A339" s="25">
        <f t="shared" si="15"/>
        <v>333</v>
      </c>
      <c r="B339" s="25"/>
      <c r="C339" s="25">
        <v>4</v>
      </c>
      <c r="D339" s="25" t="str">
        <f>VLOOKUP(C339,TB_FNX_TIPO_RESOURCE_BUNDLE!$A$7:$B$28,2,FALSE)</f>
        <v>Rótulo de entrada de texto</v>
      </c>
      <c r="E339" s="25" t="s">
        <v>1025</v>
      </c>
      <c r="F339" s="2" t="s">
        <v>940</v>
      </c>
      <c r="G339" s="25" t="s">
        <v>940</v>
      </c>
      <c r="H339" s="25" t="str">
        <f t="shared" si="16"/>
        <v>#{msg['LBL_PC_TIPO_ACAO.label']}</v>
      </c>
      <c r="I339" s="25" t="str">
        <f t="shared" si="17"/>
        <v>#{msg['LBL_PC_TIPO_ACAO.hint']}</v>
      </c>
    </row>
    <row r="340" spans="1:9" x14ac:dyDescent="0.25">
      <c r="A340" s="25">
        <f t="shared" si="15"/>
        <v>334</v>
      </c>
      <c r="B340" s="25"/>
      <c r="C340" s="25">
        <v>4</v>
      </c>
      <c r="D340" s="25" t="str">
        <f>VLOOKUP(C340,TB_FNX_TIPO_RESOURCE_BUNDLE!$A$7:$B$28,2,FALSE)</f>
        <v>Rótulo de entrada de texto</v>
      </c>
      <c r="E340" s="25" t="s">
        <v>1091</v>
      </c>
      <c r="F340" s="2" t="s">
        <v>1092</v>
      </c>
      <c r="G340" s="25" t="s">
        <v>1092</v>
      </c>
      <c r="H340" s="25" t="str">
        <f t="shared" si="16"/>
        <v>#{msg['LBL_PC_TIPO_DOCUMENTO.label']}</v>
      </c>
      <c r="I340" s="25" t="str">
        <f t="shared" si="17"/>
        <v>#{msg['LBL_PC_TIPO_DOCUMENTO.hint']}</v>
      </c>
    </row>
    <row r="341" spans="1:9" x14ac:dyDescent="0.25">
      <c r="A341" s="25">
        <f t="shared" si="15"/>
        <v>335</v>
      </c>
      <c r="B341" s="25"/>
      <c r="C341" s="25">
        <v>4</v>
      </c>
      <c r="D341" s="25" t="str">
        <f>VLOOKUP(C341,TB_FNX_TIPO_RESOURCE_BUNDLE!$A$7:$B$28,2,FALSE)</f>
        <v>Rótulo de entrada de texto</v>
      </c>
      <c r="E341" s="25" t="s">
        <v>1028</v>
      </c>
      <c r="F341" s="2" t="s">
        <v>943</v>
      </c>
      <c r="G341" s="25" t="s">
        <v>943</v>
      </c>
      <c r="H341" s="25" t="str">
        <f t="shared" si="16"/>
        <v>#{msg['LBL_PC_TOTAL.label']}</v>
      </c>
      <c r="I341" s="25" t="str">
        <f t="shared" si="17"/>
        <v>#{msg['LBL_PC_TOTAL.hint']}</v>
      </c>
    </row>
    <row r="342" spans="1:9" x14ac:dyDescent="0.25">
      <c r="A342" s="25">
        <f t="shared" si="15"/>
        <v>336</v>
      </c>
      <c r="B342" s="25"/>
      <c r="C342" s="25">
        <v>4</v>
      </c>
      <c r="D342" s="25" t="str">
        <f>VLOOKUP(C342,TB_FNX_TIPO_RESOURCE_BUNDLE!$A$7:$B$28,2,FALSE)</f>
        <v>Rótulo de entrada de texto</v>
      </c>
      <c r="E342" s="25" t="s">
        <v>1034</v>
      </c>
      <c r="F342" s="2" t="s">
        <v>950</v>
      </c>
      <c r="G342" s="25" t="s">
        <v>950</v>
      </c>
      <c r="H342" s="25" t="str">
        <f t="shared" si="16"/>
        <v>#{msg['LBL_PC_TOTAL_DESPESA.label']}</v>
      </c>
      <c r="I342" s="25" t="str">
        <f t="shared" si="17"/>
        <v>#{msg['LBL_PC_TOTAL_DESPESA.hint']}</v>
      </c>
    </row>
    <row r="343" spans="1:9" x14ac:dyDescent="0.25">
      <c r="A343" s="25">
        <f t="shared" si="15"/>
        <v>337</v>
      </c>
      <c r="B343" s="25"/>
      <c r="C343" s="25">
        <v>4</v>
      </c>
      <c r="D343" s="25" t="str">
        <f>VLOOKUP(C343,TB_FNX_TIPO_RESOURCE_BUNDLE!$A$7:$B$28,2,FALSE)</f>
        <v>Rótulo de entrada de texto</v>
      </c>
      <c r="E343" s="25" t="s">
        <v>1033</v>
      </c>
      <c r="F343" s="2" t="s">
        <v>949</v>
      </c>
      <c r="G343" s="25" t="s">
        <v>949</v>
      </c>
      <c r="H343" s="25" t="str">
        <f t="shared" si="16"/>
        <v>#{msg['LBL_PC_TOTAL_RECEITA.label']}</v>
      </c>
      <c r="I343" s="25" t="str">
        <f t="shared" si="17"/>
        <v>#{msg['LBL_PC_TOTAL_RECEITA.hint']}</v>
      </c>
    </row>
    <row r="344" spans="1:9" x14ac:dyDescent="0.25">
      <c r="A344" s="25">
        <f t="shared" si="15"/>
        <v>338</v>
      </c>
      <c r="B344" s="25"/>
      <c r="C344" s="25">
        <v>4</v>
      </c>
      <c r="D344" s="25" t="str">
        <f>VLOOKUP(C344,TB_FNX_TIPO_RESOURCE_BUNDLE!$A$7:$B$28,2,FALSE)</f>
        <v>Rótulo de entrada de texto</v>
      </c>
      <c r="E344" s="25" t="s">
        <v>1079</v>
      </c>
      <c r="F344" s="2" t="s">
        <v>975</v>
      </c>
      <c r="G344" s="25" t="s">
        <v>975</v>
      </c>
      <c r="H344" s="25" t="str">
        <f t="shared" si="16"/>
        <v>#{msg['LBL_PC_VALOR_ALCANCADO.label']}</v>
      </c>
      <c r="I344" s="25" t="str">
        <f t="shared" si="17"/>
        <v>#{msg['LBL_PC_VALOR_ALCANCADO.hint']}</v>
      </c>
    </row>
    <row r="345" spans="1:9" x14ac:dyDescent="0.25">
      <c r="A345" s="25">
        <f t="shared" si="15"/>
        <v>339</v>
      </c>
      <c r="B345" s="25"/>
      <c r="C345" s="25">
        <v>4</v>
      </c>
      <c r="D345" s="25" t="str">
        <f>VLOOKUP(C345,TB_FNX_TIPO_RESOURCE_BUNDLE!$A$7:$B$28,2,FALSE)</f>
        <v>Rótulo de entrada de texto</v>
      </c>
      <c r="E345" s="2" t="s">
        <v>1006</v>
      </c>
      <c r="F345" s="2" t="s">
        <v>599</v>
      </c>
      <c r="G345" s="25" t="s">
        <v>599</v>
      </c>
      <c r="H345" s="25" t="str">
        <f t="shared" si="16"/>
        <v>#{msg['LBL_PC_VALOR_APEX.label']}</v>
      </c>
      <c r="I345" s="25" t="str">
        <f t="shared" si="17"/>
        <v>#{msg['LBL_PC_VALOR_APEX.hint']}</v>
      </c>
    </row>
    <row r="346" spans="1:9" x14ac:dyDescent="0.25">
      <c r="A346" s="25">
        <f t="shared" si="15"/>
        <v>340</v>
      </c>
      <c r="B346" s="25"/>
      <c r="C346" s="25">
        <v>4</v>
      </c>
      <c r="D346" s="25" t="str">
        <f>VLOOKUP(C346,TB_FNX_TIPO_RESOURCE_BUNDLE!$A$7:$B$28,2,FALSE)</f>
        <v>Rótulo de entrada de texto</v>
      </c>
      <c r="E346" s="2" t="s">
        <v>1007</v>
      </c>
      <c r="F346" s="2" t="s">
        <v>924</v>
      </c>
      <c r="G346" s="25" t="s">
        <v>924</v>
      </c>
      <c r="H346" s="25" t="str">
        <f t="shared" si="16"/>
        <v>#{msg['LBL_PC_VALOR_CPARTIDA.label']}</v>
      </c>
      <c r="I346" s="25" t="str">
        <f t="shared" si="17"/>
        <v>#{msg['LBL_PC_VALOR_CPARTIDA.hint']}</v>
      </c>
    </row>
    <row r="347" spans="1:9" x14ac:dyDescent="0.25">
      <c r="A347" s="25">
        <f t="shared" si="15"/>
        <v>341</v>
      </c>
      <c r="B347" s="25"/>
      <c r="C347" s="25">
        <v>4</v>
      </c>
      <c r="D347" s="25" t="str">
        <f>VLOOKUP(C347,TB_FNX_TIPO_RESOURCE_BUNDLE!$A$7:$B$28,2,FALSE)</f>
        <v>Rótulo de entrada de texto</v>
      </c>
      <c r="E347" s="2" t="s">
        <v>1016</v>
      </c>
      <c r="F347" s="2" t="s">
        <v>931</v>
      </c>
      <c r="G347" s="25" t="s">
        <v>1015</v>
      </c>
      <c r="H347" s="25" t="str">
        <f t="shared" si="16"/>
        <v>#{msg['LBL_PC_VALOR_DESEMB.label']}</v>
      </c>
      <c r="I347" s="25" t="str">
        <f t="shared" si="17"/>
        <v>#{msg['LBL_PC_VALOR_DESEMB.hint']}</v>
      </c>
    </row>
    <row r="348" spans="1:9" x14ac:dyDescent="0.25">
      <c r="A348" s="25">
        <f t="shared" si="15"/>
        <v>342</v>
      </c>
      <c r="B348" s="25"/>
      <c r="C348" s="25">
        <v>4</v>
      </c>
      <c r="D348" s="25" t="str">
        <f>VLOOKUP(C348,TB_FNX_TIPO_RESOURCE_BUNDLE!$A$7:$B$28,2,FALSE)</f>
        <v>Rótulo de entrada de texto</v>
      </c>
      <c r="E348" s="2" t="s">
        <v>1077</v>
      </c>
      <c r="F348" s="2" t="s">
        <v>974</v>
      </c>
      <c r="G348" s="25" t="s">
        <v>974</v>
      </c>
      <c r="H348" s="25" t="str">
        <f t="shared" si="16"/>
        <v>#{msg['LBL_PC_VALOR_META.label']}</v>
      </c>
      <c r="I348" s="25" t="str">
        <f t="shared" si="17"/>
        <v>#{msg['LBL_PC_VALOR_META.hint']}</v>
      </c>
    </row>
    <row r="349" spans="1:9" x14ac:dyDescent="0.25">
      <c r="A349" s="25">
        <f t="shared" si="15"/>
        <v>343</v>
      </c>
      <c r="B349" s="25"/>
      <c r="C349" s="25">
        <v>4</v>
      </c>
      <c r="D349" s="25" t="str">
        <f>VLOOKUP(C349,TB_FNX_TIPO_RESOURCE_BUNDLE!$A$7:$B$28,2,FALSE)</f>
        <v>Rótulo de entrada de texto</v>
      </c>
      <c r="E349" s="2" t="s">
        <v>226</v>
      </c>
      <c r="F349" s="2" t="s">
        <v>144</v>
      </c>
      <c r="G349" s="4" t="s">
        <v>760</v>
      </c>
      <c r="H349" s="25" t="str">
        <f t="shared" si="16"/>
        <v>#{msg['LBL_PERFIS.label']}</v>
      </c>
      <c r="I349" s="25" t="str">
        <f t="shared" si="17"/>
        <v>#{msg['LBL_PERFIS.hint']}</v>
      </c>
    </row>
    <row r="350" spans="1:9" x14ac:dyDescent="0.25">
      <c r="A350" s="25">
        <f t="shared" si="15"/>
        <v>344</v>
      </c>
      <c r="B350" s="25"/>
      <c r="C350" s="25">
        <v>4</v>
      </c>
      <c r="D350" s="25" t="str">
        <f>VLOOKUP(C350,TB_FNX_TIPO_RESOURCE_BUNDLE!$A$7:$B$28,2,FALSE)</f>
        <v>Rótulo de entrada de texto</v>
      </c>
      <c r="E350" s="2" t="s">
        <v>223</v>
      </c>
      <c r="F350" s="2" t="s">
        <v>155</v>
      </c>
      <c r="G350" s="4" t="s">
        <v>761</v>
      </c>
      <c r="H350" s="25" t="str">
        <f t="shared" si="16"/>
        <v>#{msg['LBL_PERFIS_DISPONIVEIS.label']}</v>
      </c>
      <c r="I350" s="25" t="str">
        <f t="shared" si="17"/>
        <v>#{msg['LBL_PERFIS_DISPONIVEIS.hint']}</v>
      </c>
    </row>
    <row r="351" spans="1:9" x14ac:dyDescent="0.25">
      <c r="A351" s="25">
        <f t="shared" si="15"/>
        <v>345</v>
      </c>
      <c r="B351" s="25"/>
      <c r="C351" s="25">
        <v>1</v>
      </c>
      <c r="D351" s="25" t="str">
        <f>VLOOKUP(C351,TB_FNX_TIPO_RESOURCE_BUNDLE!$A$7:$B$28,2,FALSE)</f>
        <v>Botão</v>
      </c>
      <c r="E351" s="2" t="s">
        <v>348</v>
      </c>
      <c r="F351" s="2" t="s">
        <v>179</v>
      </c>
      <c r="G351" s="4" t="s">
        <v>762</v>
      </c>
      <c r="H351" s="25" t="str">
        <f t="shared" si="16"/>
        <v>#{msg['LBL_PERFIS_RECURSO.label']}</v>
      </c>
      <c r="I351" s="25" t="str">
        <f t="shared" si="17"/>
        <v>#{msg['LBL_PERFIS_RECURSO.hint']}</v>
      </c>
    </row>
    <row r="352" spans="1:9" x14ac:dyDescent="0.25">
      <c r="A352" s="25">
        <f t="shared" si="15"/>
        <v>346</v>
      </c>
      <c r="B352" s="25"/>
      <c r="C352" s="25">
        <v>4</v>
      </c>
      <c r="D352" s="25" t="str">
        <f>VLOOKUP(C352,TB_FNX_TIPO_RESOURCE_BUNDLE!$A$7:$B$28,2,FALSE)</f>
        <v>Rótulo de entrada de texto</v>
      </c>
      <c r="E352" s="25" t="s">
        <v>224</v>
      </c>
      <c r="F352" s="2" t="s">
        <v>156</v>
      </c>
      <c r="G352" s="4" t="s">
        <v>763</v>
      </c>
      <c r="H352" s="25" t="str">
        <f t="shared" si="16"/>
        <v>#{msg['LBL_PERFIS_SELECIONADOS.label']}</v>
      </c>
      <c r="I352" s="25" t="str">
        <f t="shared" si="17"/>
        <v>#{msg['LBL_PERFIS_SELECIONADOS.hint']}</v>
      </c>
    </row>
    <row r="353" spans="1:9" x14ac:dyDescent="0.25">
      <c r="A353" s="25">
        <f t="shared" si="15"/>
        <v>347</v>
      </c>
      <c r="B353" s="25"/>
      <c r="C353" s="25">
        <v>4</v>
      </c>
      <c r="D353" s="25" t="str">
        <f>VLOOKUP(C353,TB_FNX_TIPO_RESOURCE_BUNDLE!$A$7:$B$28,2,FALSE)</f>
        <v>Rótulo de entrada de texto</v>
      </c>
      <c r="E353" s="25" t="s">
        <v>277</v>
      </c>
      <c r="F353" s="2" t="s">
        <v>289</v>
      </c>
      <c r="G353" s="4" t="s">
        <v>764</v>
      </c>
      <c r="H353" s="25" t="str">
        <f t="shared" si="16"/>
        <v>#{msg['LBL_PESQUISAR.label']}</v>
      </c>
      <c r="I353" s="25" t="str">
        <f t="shared" si="17"/>
        <v>#{msg['LBL_PESQUISAR.hint']}</v>
      </c>
    </row>
    <row r="354" spans="1:9" x14ac:dyDescent="0.25">
      <c r="A354" s="25">
        <f t="shared" si="15"/>
        <v>348</v>
      </c>
      <c r="B354" s="25"/>
      <c r="C354" s="25">
        <v>4</v>
      </c>
      <c r="D354" s="25" t="str">
        <f>VLOOKUP(C354,TB_FNX_TIPO_RESOURCE_BUNDLE!$A$7:$B$28,2,FALSE)</f>
        <v>Rótulo de entrada de texto</v>
      </c>
      <c r="E354" s="25" t="s">
        <v>283</v>
      </c>
      <c r="F354" s="2" t="s">
        <v>294</v>
      </c>
      <c r="G354" s="4" t="s">
        <v>305</v>
      </c>
      <c r="H354" s="25" t="str">
        <f t="shared" si="16"/>
        <v>#{msg['LBL_PESQUISAR_ENTIDADE.label']}</v>
      </c>
      <c r="I354" s="25" t="str">
        <f t="shared" si="17"/>
        <v>#{msg['LBL_PESQUISAR_ENTIDADE.hint']}</v>
      </c>
    </row>
    <row r="355" spans="1:9" x14ac:dyDescent="0.25">
      <c r="A355" s="25">
        <f t="shared" si="15"/>
        <v>349</v>
      </c>
      <c r="B355" s="25"/>
      <c r="C355" s="25">
        <v>4</v>
      </c>
      <c r="D355" s="25" t="str">
        <f>VLOOKUP(C355,TB_FNX_TIPO_RESOURCE_BUNDLE!$A$7:$B$28,2,FALSE)</f>
        <v>Rótulo de entrada de texto</v>
      </c>
      <c r="E355" s="2" t="s">
        <v>276</v>
      </c>
      <c r="F355" s="2" t="s">
        <v>288</v>
      </c>
      <c r="G355" s="4" t="s">
        <v>299</v>
      </c>
      <c r="H355" s="25" t="str">
        <f t="shared" si="16"/>
        <v>#{msg['LBL_PESQUISAR_PROJETO.label']}</v>
      </c>
      <c r="I355" s="25" t="str">
        <f t="shared" si="17"/>
        <v>#{msg['LBL_PESQUISAR_PROJETO.hint']}</v>
      </c>
    </row>
    <row r="356" spans="1:9" x14ac:dyDescent="0.25">
      <c r="A356" s="25">
        <f t="shared" si="15"/>
        <v>350</v>
      </c>
      <c r="B356" s="25"/>
      <c r="C356" s="25">
        <v>4</v>
      </c>
      <c r="D356" s="25" t="str">
        <f>VLOOKUP(C356,TB_FNX_TIPO_RESOURCE_BUNDLE!$A$7:$B$28,2,FALSE)</f>
        <v>Rótulo de entrada de texto</v>
      </c>
      <c r="E356" s="25" t="s">
        <v>280</v>
      </c>
      <c r="F356" s="2" t="s">
        <v>291</v>
      </c>
      <c r="G356" s="4" t="s">
        <v>302</v>
      </c>
      <c r="H356" s="25" t="str">
        <f t="shared" si="16"/>
        <v>#{msg['LBL_PESQUISAR_UNIDADE.label']}</v>
      </c>
      <c r="I356" s="25" t="str">
        <f t="shared" si="17"/>
        <v>#{msg['LBL_PESQUISAR_UNIDADE.hint']}</v>
      </c>
    </row>
    <row r="357" spans="1:9" x14ac:dyDescent="0.25">
      <c r="A357" s="25">
        <f t="shared" si="15"/>
        <v>351</v>
      </c>
      <c r="B357" s="25"/>
      <c r="C357" s="25">
        <v>4</v>
      </c>
      <c r="D357" s="25" t="str">
        <f>VLOOKUP(C357,TB_FNX_TIPO_RESOURCE_BUNDLE!$A$7:$B$28,2,FALSE)</f>
        <v>Rótulo de entrada de texto</v>
      </c>
      <c r="E357" s="25" t="s">
        <v>243</v>
      </c>
      <c r="F357" s="2" t="s">
        <v>245</v>
      </c>
      <c r="G357" s="4" t="s">
        <v>765</v>
      </c>
      <c r="H357" s="25" t="str">
        <f t="shared" si="16"/>
        <v>#{msg['LBL_PROPAGA_HIERARQUIA.label']}</v>
      </c>
      <c r="I357" s="25" t="str">
        <f t="shared" si="17"/>
        <v>#{msg['LBL_PROPAGA_HIERARQUIA.hint']}</v>
      </c>
    </row>
    <row r="358" spans="1:9" x14ac:dyDescent="0.25">
      <c r="A358" s="25">
        <f t="shared" si="15"/>
        <v>352</v>
      </c>
      <c r="B358" s="25"/>
      <c r="C358" s="25">
        <v>4</v>
      </c>
      <c r="D358" s="25" t="str">
        <f>VLOOKUP(C358,TB_FNX_TIPO_RESOURCE_BUNDLE!$A$7:$B$28,2,FALSE)</f>
        <v>Rótulo de entrada de texto</v>
      </c>
      <c r="E358" s="25" t="s">
        <v>225</v>
      </c>
      <c r="F358" s="2" t="s">
        <v>180</v>
      </c>
      <c r="G358" s="4" t="s">
        <v>766</v>
      </c>
      <c r="H358" s="25" t="str">
        <f t="shared" si="16"/>
        <v>#{msg['LBL_RECURSOS.label']}</v>
      </c>
      <c r="I358" s="25" t="str">
        <f t="shared" si="17"/>
        <v>#{msg['LBL_RECURSOS.hint']}</v>
      </c>
    </row>
    <row r="359" spans="1:9" x14ac:dyDescent="0.25">
      <c r="A359" s="25">
        <f t="shared" si="15"/>
        <v>353</v>
      </c>
      <c r="B359" s="25"/>
      <c r="C359" s="25">
        <v>4</v>
      </c>
      <c r="D359" s="25" t="str">
        <f>VLOOKUP(C359,TB_FNX_TIPO_RESOURCE_BUNDLE!$A$7:$B$28,2,FALSE)</f>
        <v>Rótulo de entrada de texto</v>
      </c>
      <c r="E359" s="10" t="s">
        <v>229</v>
      </c>
      <c r="F359" s="2" t="s">
        <v>180</v>
      </c>
      <c r="G359" s="4" t="s">
        <v>766</v>
      </c>
      <c r="H359" s="25" t="str">
        <f t="shared" si="16"/>
        <v>#{msg['LBL_RECURSOS_ASSOCIADOS.label']}</v>
      </c>
      <c r="I359" s="25" t="str">
        <f t="shared" si="17"/>
        <v>#{msg['LBL_RECURSOS_ASSOCIADOS.hint']}</v>
      </c>
    </row>
    <row r="360" spans="1:9" x14ac:dyDescent="0.25">
      <c r="A360" s="25">
        <f t="shared" si="15"/>
        <v>354</v>
      </c>
      <c r="B360" s="25"/>
      <c r="C360" s="25">
        <v>4</v>
      </c>
      <c r="D360" s="25" t="str">
        <f>VLOOKUP(C360,TB_FNX_TIPO_RESOURCE_BUNDLE!$A$7:$B$28,2,FALSE)</f>
        <v>Rótulo de entrada de texto</v>
      </c>
      <c r="E360" s="10" t="s">
        <v>252</v>
      </c>
      <c r="F360" s="2" t="s">
        <v>157</v>
      </c>
      <c r="G360" s="4" t="s">
        <v>767</v>
      </c>
      <c r="H360" s="25" t="str">
        <f t="shared" si="16"/>
        <v>#{msg['LBL_RECURSOS_DISPONIVEIS.label']}</v>
      </c>
      <c r="I360" s="25" t="str">
        <f t="shared" si="17"/>
        <v>#{msg['LBL_RECURSOS_DISPONIVEIS.hint']}</v>
      </c>
    </row>
    <row r="361" spans="1:9" x14ac:dyDescent="0.25">
      <c r="A361" s="25">
        <f t="shared" si="15"/>
        <v>355</v>
      </c>
      <c r="B361" s="25"/>
      <c r="C361" s="25">
        <v>4</v>
      </c>
      <c r="D361" s="25" t="str">
        <f>VLOOKUP(C361,TB_FNX_TIPO_RESOURCE_BUNDLE!$A$7:$B$28,2,FALSE)</f>
        <v>Rótulo de entrada de texto</v>
      </c>
      <c r="E361" s="10" t="s">
        <v>253</v>
      </c>
      <c r="F361" s="2" t="s">
        <v>158</v>
      </c>
      <c r="G361" s="4" t="s">
        <v>768</v>
      </c>
      <c r="H361" s="25" t="str">
        <f t="shared" si="16"/>
        <v>#{msg['LBL_RECURSOS_SELECIONADOS.label']}</v>
      </c>
      <c r="I361" s="25" t="str">
        <f t="shared" si="17"/>
        <v>#{msg['LBL_RECURSOS_SELECIONADOS.hint']}</v>
      </c>
    </row>
    <row r="362" spans="1:9" x14ac:dyDescent="0.25">
      <c r="A362" s="25">
        <f t="shared" si="15"/>
        <v>356</v>
      </c>
      <c r="B362" s="25"/>
      <c r="C362" s="25">
        <v>4</v>
      </c>
      <c r="D362" s="25" t="str">
        <f>VLOOKUP(C362,TB_FNX_TIPO_RESOURCE_BUNDLE!$A$7:$B$28,2,FALSE)</f>
        <v>Rótulo de entrada de texto</v>
      </c>
      <c r="E362" s="25" t="s">
        <v>455</v>
      </c>
      <c r="F362" s="2" t="s">
        <v>460</v>
      </c>
      <c r="G362" s="4" t="s">
        <v>782</v>
      </c>
      <c r="H362" s="25" t="str">
        <f t="shared" si="16"/>
        <v>#{msg['LBL_RPM_DESCRICAO_RECURSO.label']}</v>
      </c>
      <c r="I362" s="25" t="str">
        <f t="shared" si="17"/>
        <v>#{msg['LBL_RPM_DESCRICAO_RECURSO.hint']}</v>
      </c>
    </row>
    <row r="363" spans="1:9" x14ac:dyDescent="0.25">
      <c r="A363" s="25">
        <f t="shared" si="15"/>
        <v>357</v>
      </c>
      <c r="B363" s="25"/>
      <c r="C363" s="25">
        <v>4</v>
      </c>
      <c r="D363" s="25" t="str">
        <f>VLOOKUP(C363,TB_FNX_TIPO_RESOURCE_BUNDLE!$A$7:$B$28,2,FALSE)</f>
        <v>Rótulo de entrada de texto</v>
      </c>
      <c r="E363" s="25" t="s">
        <v>456</v>
      </c>
      <c r="F363" s="2" t="s">
        <v>461</v>
      </c>
      <c r="G363" s="26" t="s">
        <v>783</v>
      </c>
      <c r="H363" s="25" t="str">
        <f t="shared" si="16"/>
        <v>#{msg['LBL_RPM_RECURSO_PROTEGIDO.label']}</v>
      </c>
      <c r="I363" s="25" t="str">
        <f t="shared" si="17"/>
        <v>#{msg['LBL_RPM_RECURSO_PROTEGIDO.hint']}</v>
      </c>
    </row>
    <row r="364" spans="1:9" x14ac:dyDescent="0.25">
      <c r="A364" s="25">
        <f t="shared" si="15"/>
        <v>358</v>
      </c>
      <c r="B364" s="25"/>
      <c r="C364" s="25">
        <v>4</v>
      </c>
      <c r="D364" s="25" t="str">
        <f>VLOOKUP(C364,TB_FNX_TIPO_RESOURCE_BUNDLE!$A$7:$B$28,2,FALSE)</f>
        <v>Rótulo de entrada de texto</v>
      </c>
      <c r="E364" s="25" t="s">
        <v>457</v>
      </c>
      <c r="F364" s="2" t="s">
        <v>462</v>
      </c>
      <c r="G364" s="26" t="s">
        <v>784</v>
      </c>
      <c r="H364" s="25" t="str">
        <f t="shared" si="16"/>
        <v>#{msg['LBL_RPM_SITUACAO_RECURSO.label']}</v>
      </c>
      <c r="I364" s="25" t="str">
        <f t="shared" si="17"/>
        <v>#{msg['LBL_RPM_SITUACAO_RECURSO.hint']}</v>
      </c>
    </row>
    <row r="365" spans="1:9" x14ac:dyDescent="0.25">
      <c r="A365" s="25">
        <f t="shared" si="15"/>
        <v>359</v>
      </c>
      <c r="B365" s="25" t="s">
        <v>452</v>
      </c>
      <c r="C365" s="25">
        <v>4</v>
      </c>
      <c r="D365" s="25" t="str">
        <f>VLOOKUP(C365,TB_FNX_TIPO_RESOURCE_BUNDLE!$A$7:$B$28,2,FALSE)</f>
        <v>Rótulo de entrada de texto</v>
      </c>
      <c r="E365" s="25" t="s">
        <v>453</v>
      </c>
      <c r="F365" s="2" t="s">
        <v>454</v>
      </c>
      <c r="G365" s="26" t="s">
        <v>781</v>
      </c>
      <c r="H365" s="25" t="str">
        <f t="shared" si="16"/>
        <v>#{msg['LBL_RPM_TITULO.label']}</v>
      </c>
      <c r="I365" s="25" t="str">
        <f t="shared" si="17"/>
        <v>#{msg['LBL_RPM_TITULO.hint']}</v>
      </c>
    </row>
    <row r="366" spans="1:9" x14ac:dyDescent="0.25">
      <c r="A366" s="25">
        <f t="shared" si="15"/>
        <v>360</v>
      </c>
      <c r="B366" s="25"/>
      <c r="C366" s="25">
        <v>4</v>
      </c>
      <c r="D366" s="25" t="str">
        <f>VLOOKUP(C366,TB_FNX_TIPO_RESOURCE_BUNDLE!$A$7:$B$28,2,FALSE)</f>
        <v>Rótulo de entrada de texto</v>
      </c>
      <c r="E366" s="10" t="s">
        <v>272</v>
      </c>
      <c r="F366" s="2" t="s">
        <v>273</v>
      </c>
      <c r="G366" s="26" t="s">
        <v>769</v>
      </c>
      <c r="H366" s="25" t="str">
        <f t="shared" si="16"/>
        <v>#{msg['LBL_SEGURANCA.label']}</v>
      </c>
      <c r="I366" s="25" t="str">
        <f t="shared" si="17"/>
        <v>#{msg['LBL_SEGURANCA.hint']}</v>
      </c>
    </row>
    <row r="367" spans="1:9" x14ac:dyDescent="0.25">
      <c r="A367" s="25">
        <f t="shared" si="15"/>
        <v>361</v>
      </c>
      <c r="B367" s="25"/>
      <c r="C367" s="25">
        <v>4</v>
      </c>
      <c r="D367" s="25" t="str">
        <f>VLOOKUP(C367,TB_FNX_TIPO_RESOURCE_BUNDLE!$A$7:$B$28,2,FALSE)</f>
        <v>Rótulo de entrada de texto</v>
      </c>
      <c r="E367" s="25" t="s">
        <v>1516</v>
      </c>
      <c r="F367" s="2" t="s">
        <v>1517</v>
      </c>
      <c r="G367" s="26"/>
      <c r="H367" s="25" t="str">
        <f t="shared" si="16"/>
        <v>#{msg['LBL_SELECIONE.label']}</v>
      </c>
      <c r="I367" s="25" t="str">
        <f t="shared" si="17"/>
        <v>#{msg['LBL_SELECIONE.hint']}</v>
      </c>
    </row>
    <row r="368" spans="1:9" x14ac:dyDescent="0.25">
      <c r="A368" s="25">
        <f t="shared" si="15"/>
        <v>362</v>
      </c>
      <c r="B368" s="25"/>
      <c r="C368" s="25">
        <v>4</v>
      </c>
      <c r="D368" s="25" t="str">
        <f>VLOOKUP(C368,TB_FNX_TIPO_RESOURCE_BUNDLE!$A$7:$B$28,2,FALSE)</f>
        <v>Rótulo de entrada de texto</v>
      </c>
      <c r="E368" s="25" t="s">
        <v>473</v>
      </c>
      <c r="F368" s="2" t="s">
        <v>474</v>
      </c>
      <c r="G368" s="26" t="s">
        <v>793</v>
      </c>
      <c r="H368" s="25" t="str">
        <f t="shared" si="16"/>
        <v>#{msg['LBL_SIGLA_ENTIDADE.label']}</v>
      </c>
      <c r="I368" s="25" t="str">
        <f t="shared" si="17"/>
        <v>#{msg['LBL_SIGLA_ENTIDADE.hint']}</v>
      </c>
    </row>
    <row r="369" spans="1:9" x14ac:dyDescent="0.25">
      <c r="A369" s="25">
        <f t="shared" si="15"/>
        <v>363</v>
      </c>
      <c r="B369" s="25"/>
      <c r="C369" s="25">
        <v>4</v>
      </c>
      <c r="D369" s="25" t="str">
        <f>VLOOKUP(C369,TB_FNX_TIPO_RESOURCE_BUNDLE!$A$7:$B$28,2,FALSE)</f>
        <v>Rótulo de entrada de texto</v>
      </c>
      <c r="E369" s="10" t="s">
        <v>242</v>
      </c>
      <c r="F369" s="2" t="s">
        <v>137</v>
      </c>
      <c r="G369" s="26" t="s">
        <v>770</v>
      </c>
      <c r="H369" s="25" t="str">
        <f t="shared" si="16"/>
        <v>#{msg['LBL_SITUACAO.label']}</v>
      </c>
      <c r="I369" s="25" t="str">
        <f t="shared" si="17"/>
        <v>#{msg['LBL_SITUACAO.hint']}</v>
      </c>
    </row>
    <row r="370" spans="1:9" x14ac:dyDescent="0.25">
      <c r="A370" s="25">
        <f t="shared" si="15"/>
        <v>364</v>
      </c>
      <c r="B370" s="25"/>
      <c r="C370" s="25">
        <v>4</v>
      </c>
      <c r="D370" s="25" t="str">
        <f>VLOOKUP(C370,TB_FNX_TIPO_RESOURCE_BUNDLE!$A$7:$B$28,2,FALSE)</f>
        <v>Rótulo de entrada de texto</v>
      </c>
      <c r="E370" s="10" t="s">
        <v>236</v>
      </c>
      <c r="F370" s="2" t="s">
        <v>137</v>
      </c>
      <c r="G370" s="26" t="s">
        <v>149</v>
      </c>
      <c r="H370" s="25" t="str">
        <f t="shared" si="16"/>
        <v>#{msg['LBL_SITUACAO_USUARIO.label']}</v>
      </c>
      <c r="I370" s="25" t="str">
        <f t="shared" si="17"/>
        <v>#{msg['LBL_SITUACAO_USUARIO.hint']}</v>
      </c>
    </row>
    <row r="371" spans="1:9" x14ac:dyDescent="0.25">
      <c r="A371" s="25">
        <f t="shared" si="15"/>
        <v>365</v>
      </c>
      <c r="B371" s="25"/>
      <c r="C371" s="25">
        <v>4</v>
      </c>
      <c r="D371" s="25" t="str">
        <f>VLOOKUP(C371,TB_FNX_TIPO_RESOURCE_BUNDLE!$A$7:$B$28,2,FALSE)</f>
        <v>Rótulo de entrada de texto</v>
      </c>
      <c r="E371" s="25" t="s">
        <v>1361</v>
      </c>
      <c r="F371" s="2" t="s">
        <v>1364</v>
      </c>
      <c r="G371" s="26"/>
      <c r="H371" s="25" t="str">
        <f t="shared" si="16"/>
        <v>#{msg['LBL_TITULO_DESEMB_APAGAR.label']}</v>
      </c>
      <c r="I371" s="25" t="str">
        <f t="shared" si="17"/>
        <v>#{msg['LBL_TITULO_DESEMB_APAGAR.hint']}</v>
      </c>
    </row>
    <row r="372" spans="1:9" x14ac:dyDescent="0.25">
      <c r="A372" s="25">
        <f t="shared" si="15"/>
        <v>366</v>
      </c>
      <c r="B372" s="25"/>
      <c r="C372" s="25">
        <v>4</v>
      </c>
      <c r="D372" s="25" t="str">
        <f>VLOOKUP(C372,TB_FNX_TIPO_RESOURCE_BUNDLE!$A$7:$B$28,2,FALSE)</f>
        <v>Rótulo de entrada de texto</v>
      </c>
      <c r="E372" s="25" t="s">
        <v>1362</v>
      </c>
      <c r="F372" s="2" t="s">
        <v>1363</v>
      </c>
      <c r="G372" s="26"/>
      <c r="H372" s="25" t="str">
        <f t="shared" si="16"/>
        <v>#{msg['LBL_TXT_DESEMB_APAGAR.label']}</v>
      </c>
      <c r="I372" s="25" t="str">
        <f t="shared" si="17"/>
        <v>#{msg['LBL_TXT_DESEMB_APAGAR.hint']}</v>
      </c>
    </row>
    <row r="373" spans="1:9" x14ac:dyDescent="0.25">
      <c r="A373" s="25">
        <f t="shared" si="15"/>
        <v>367</v>
      </c>
      <c r="B373" s="25"/>
      <c r="C373" s="25">
        <v>4</v>
      </c>
      <c r="D373" s="25" t="str">
        <f>VLOOKUP(C373,TB_FNX_TIPO_RESOURCE_BUNDLE!$A$7:$B$28,2,FALSE)</f>
        <v>Rótulo de entrada de texto</v>
      </c>
      <c r="E373" s="10" t="s">
        <v>222</v>
      </c>
      <c r="F373" s="2" t="s">
        <v>228</v>
      </c>
      <c r="G373" s="26" t="s">
        <v>759</v>
      </c>
      <c r="H373" s="25" t="str">
        <f t="shared" si="16"/>
        <v>#{msg['LBL_USUARIO.label']}</v>
      </c>
      <c r="I373" s="25" t="str">
        <f t="shared" si="17"/>
        <v>#{msg['LBL_USUARIO.hint']}</v>
      </c>
    </row>
    <row r="374" spans="1:9" x14ac:dyDescent="0.25">
      <c r="A374" s="25">
        <f t="shared" si="15"/>
        <v>368</v>
      </c>
      <c r="B374" s="25"/>
      <c r="C374" s="25">
        <v>4</v>
      </c>
      <c r="D374" s="25" t="str">
        <f>VLOOKUP(C374,TB_FNX_TIPO_RESOURCE_BUNDLE!$A$7:$B$28,2,FALSE)</f>
        <v>Rótulo de entrada de texto</v>
      </c>
      <c r="E374" s="10" t="s">
        <v>271</v>
      </c>
      <c r="F374" s="2" t="s">
        <v>166</v>
      </c>
      <c r="G374" s="26" t="s">
        <v>771</v>
      </c>
      <c r="H374" s="25" t="str">
        <f t="shared" si="16"/>
        <v>#{msg['LBL_USUARIOS.label']}</v>
      </c>
      <c r="I374" s="25" t="str">
        <f t="shared" si="17"/>
        <v>#{msg['LBL_USUARIOS.hint']}</v>
      </c>
    </row>
    <row r="375" spans="1:9" x14ac:dyDescent="0.25">
      <c r="A375" s="25">
        <f t="shared" si="15"/>
        <v>369</v>
      </c>
      <c r="B375" s="25"/>
      <c r="C375" s="25">
        <v>8</v>
      </c>
      <c r="D375" s="25" t="str">
        <f>VLOOKUP(C375,TB_FNX_TIPO_RESOURCE_BUNDLE!$A$7:$B$28,2,FALSE)</f>
        <v>Lista</v>
      </c>
      <c r="E375" s="25" t="s">
        <v>623</v>
      </c>
      <c r="F375" s="2" t="s">
        <v>624</v>
      </c>
      <c r="G375" s="26" t="s">
        <v>824</v>
      </c>
      <c r="H375" s="25" t="str">
        <f t="shared" si="16"/>
        <v>#{msg['LST_DESEMBOLSOS_PARCELA.label']}</v>
      </c>
      <c r="I375" s="25" t="str">
        <f t="shared" si="17"/>
        <v>#{msg['LST_DESEMBOLSOS_PARCELA.hint']}</v>
      </c>
    </row>
    <row r="376" spans="1:9" x14ac:dyDescent="0.25">
      <c r="A376" s="25">
        <f t="shared" si="15"/>
        <v>370</v>
      </c>
      <c r="B376" s="25"/>
      <c r="C376" s="25">
        <v>8</v>
      </c>
      <c r="D376" s="25" t="str">
        <f>VLOOKUP(C376,TB_FNX_TIPO_RESOURCE_BUNDLE!$A$7:$B$28,2,FALSE)</f>
        <v>Lista</v>
      </c>
      <c r="E376" s="10" t="s">
        <v>282</v>
      </c>
      <c r="F376" s="2" t="s">
        <v>293</v>
      </c>
      <c r="G376" s="26" t="s">
        <v>304</v>
      </c>
      <c r="H376" s="25" t="str">
        <f t="shared" si="16"/>
        <v>#{msg['LST_ENTIDADES.label']}</v>
      </c>
      <c r="I376" s="25" t="str">
        <f t="shared" si="17"/>
        <v>#{msg['LST_ENTIDADES.hint']}</v>
      </c>
    </row>
    <row r="377" spans="1:9" x14ac:dyDescent="0.25">
      <c r="A377" s="25">
        <f t="shared" si="15"/>
        <v>371</v>
      </c>
      <c r="B377" s="25"/>
      <c r="C377" s="25">
        <v>8</v>
      </c>
      <c r="D377" s="25" t="str">
        <f>VLOOKUP(C377,TB_FNX_TIPO_RESOURCE_BUNDLE!$A$7:$B$28,2,FALSE)</f>
        <v>Lista</v>
      </c>
      <c r="E377" s="10" t="s">
        <v>206</v>
      </c>
      <c r="F377" s="2" t="s">
        <v>144</v>
      </c>
      <c r="G377" s="26" t="s">
        <v>772</v>
      </c>
      <c r="H377" s="25" t="str">
        <f t="shared" si="16"/>
        <v>#{msg['LST_PERFIS.label']}</v>
      </c>
      <c r="I377" s="25" t="str">
        <f t="shared" si="17"/>
        <v>#{msg['LST_PERFIS.hint']}</v>
      </c>
    </row>
    <row r="378" spans="1:9" x14ac:dyDescent="0.25">
      <c r="A378" s="25">
        <f t="shared" si="15"/>
        <v>372</v>
      </c>
      <c r="B378" s="25"/>
      <c r="C378" s="25">
        <v>8</v>
      </c>
      <c r="D378" s="25" t="str">
        <f>VLOOKUP(C378,TB_FNX_TIPO_RESOURCE_BUNDLE!$A$7:$B$28,2,FALSE)</f>
        <v>Lista</v>
      </c>
      <c r="E378" s="10" t="s">
        <v>207</v>
      </c>
      <c r="F378" s="2" t="s">
        <v>155</v>
      </c>
      <c r="G378" s="4" t="s">
        <v>761</v>
      </c>
      <c r="H378" s="25" t="str">
        <f t="shared" si="16"/>
        <v>#{msg['LST_PERFIS_DISPONIVEIS.label']}</v>
      </c>
      <c r="I378" s="25" t="str">
        <f t="shared" si="17"/>
        <v>#{msg['LST_PERFIS_DISPONIVEIS.hint']}</v>
      </c>
    </row>
    <row r="379" spans="1:9" x14ac:dyDescent="0.25">
      <c r="A379" s="25">
        <f t="shared" si="15"/>
        <v>373</v>
      </c>
      <c r="B379" s="25" t="s">
        <v>184</v>
      </c>
      <c r="C379" s="25">
        <v>8</v>
      </c>
      <c r="D379" s="25" t="str">
        <f>VLOOKUP(C379,TB_FNX_TIPO_RESOURCE_BUNDLE!$A$7:$B$28,2,FALSE)</f>
        <v>Lista</v>
      </c>
      <c r="E379" s="10" t="s">
        <v>181</v>
      </c>
      <c r="F379" s="2" t="s">
        <v>144</v>
      </c>
      <c r="G379" s="4" t="s">
        <v>762</v>
      </c>
      <c r="H379" s="25" t="str">
        <f t="shared" si="16"/>
        <v>#{msg['LST_PERFIS_RECURSOS.label']}</v>
      </c>
      <c r="I379" s="25" t="str">
        <f t="shared" si="17"/>
        <v>#{msg['LST_PERFIS_RECURSOS.hint']}</v>
      </c>
    </row>
    <row r="380" spans="1:9" x14ac:dyDescent="0.25">
      <c r="A380" s="25">
        <f t="shared" si="15"/>
        <v>374</v>
      </c>
      <c r="B380" s="25"/>
      <c r="C380" s="25">
        <v>8</v>
      </c>
      <c r="D380" s="25" t="str">
        <f>VLOOKUP(C380,TB_FNX_TIPO_RESOURCE_BUNDLE!$A$7:$B$28,2,FALSE)</f>
        <v>Lista</v>
      </c>
      <c r="E380" s="10" t="s">
        <v>208</v>
      </c>
      <c r="F380" s="2" t="s">
        <v>156</v>
      </c>
      <c r="G380" s="4" t="s">
        <v>773</v>
      </c>
      <c r="H380" s="25" t="str">
        <f t="shared" si="16"/>
        <v>#{msg['LST_PERFIS_SELECIONADOS.label']}</v>
      </c>
      <c r="I380" s="25" t="str">
        <f t="shared" si="17"/>
        <v>#{msg['LST_PERFIS_SELECIONADOS.hint']}</v>
      </c>
    </row>
    <row r="381" spans="1:9" x14ac:dyDescent="0.25">
      <c r="A381" s="25">
        <f t="shared" si="15"/>
        <v>375</v>
      </c>
      <c r="B381" s="25" t="s">
        <v>191</v>
      </c>
      <c r="C381" s="25">
        <v>8</v>
      </c>
      <c r="D381" s="25" t="str">
        <f>VLOOKUP(C381,TB_FNX_TIPO_RESOURCE_BUNDLE!$A$7:$B$28,2,FALSE)</f>
        <v>Lista</v>
      </c>
      <c r="E381" s="10" t="s">
        <v>209</v>
      </c>
      <c r="F381" s="2" t="s">
        <v>195</v>
      </c>
      <c r="G381" s="4" t="s">
        <v>774</v>
      </c>
      <c r="H381" s="25" t="str">
        <f t="shared" si="16"/>
        <v>#{msg['LST_PERFIS_USUARIO.label']}</v>
      </c>
      <c r="I381" s="25" t="str">
        <f t="shared" si="17"/>
        <v>#{msg['LST_PERFIS_USUARIO.hint']}</v>
      </c>
    </row>
    <row r="382" spans="1:9" x14ac:dyDescent="0.25">
      <c r="A382" s="25">
        <f t="shared" si="15"/>
        <v>376</v>
      </c>
      <c r="B382" s="25"/>
      <c r="C382" s="25">
        <v>8</v>
      </c>
      <c r="D382" s="25" t="str">
        <f>VLOOKUP(C382,TB_FNX_TIPO_RESOURCE_BUNDLE!$A$7:$B$28,2,FALSE)</f>
        <v>Lista</v>
      </c>
      <c r="E382" s="10" t="s">
        <v>210</v>
      </c>
      <c r="F382" s="25" t="s">
        <v>167</v>
      </c>
      <c r="G382" s="26" t="s">
        <v>775</v>
      </c>
      <c r="H382" s="25" t="str">
        <f t="shared" si="16"/>
        <v>#{msg['LST_RECURSOS.label']}</v>
      </c>
      <c r="I382" s="25" t="str">
        <f t="shared" si="17"/>
        <v>#{msg['LST_RECURSOS.hint']}</v>
      </c>
    </row>
    <row r="383" spans="1:9" x14ac:dyDescent="0.25">
      <c r="A383" s="25">
        <f t="shared" si="15"/>
        <v>377</v>
      </c>
      <c r="B383" s="25"/>
      <c r="C383" s="25">
        <v>8</v>
      </c>
      <c r="D383" s="25" t="str">
        <f>VLOOKUP(C383,TB_FNX_TIPO_RESOURCE_BUNDLE!$A$7:$B$28,2,FALSE)</f>
        <v>Lista</v>
      </c>
      <c r="E383" s="10" t="s">
        <v>211</v>
      </c>
      <c r="F383" s="25" t="s">
        <v>157</v>
      </c>
      <c r="G383" s="26" t="s">
        <v>776</v>
      </c>
      <c r="H383" s="25" t="str">
        <f t="shared" si="16"/>
        <v>#{msg['LST_RECURSOS_DISPONIVEIS.label']}</v>
      </c>
      <c r="I383" s="25" t="str">
        <f t="shared" si="17"/>
        <v>#{msg['LST_RECURSOS_DISPONIVEIS.hint']}</v>
      </c>
    </row>
    <row r="384" spans="1:9" x14ac:dyDescent="0.25">
      <c r="A384" s="25">
        <f t="shared" si="15"/>
        <v>378</v>
      </c>
      <c r="B384" s="25" t="s">
        <v>183</v>
      </c>
      <c r="C384" s="25">
        <v>8</v>
      </c>
      <c r="D384" s="25" t="str">
        <f>VLOOKUP(C384,TB_FNX_TIPO_RESOURCE_BUNDLE!$A$7:$B$28,2,FALSE)</f>
        <v>Lista</v>
      </c>
      <c r="E384" s="10" t="s">
        <v>212</v>
      </c>
      <c r="F384" s="2" t="s">
        <v>180</v>
      </c>
      <c r="G384" s="4" t="s">
        <v>777</v>
      </c>
      <c r="H384" s="25" t="str">
        <f t="shared" si="16"/>
        <v>#{msg['LST_RECURSOS_PERFIL.label']}</v>
      </c>
      <c r="I384" s="25" t="str">
        <f t="shared" si="17"/>
        <v>#{msg['LST_RECURSOS_PERFIL.hint']}</v>
      </c>
    </row>
    <row r="385" spans="1:9" x14ac:dyDescent="0.25">
      <c r="A385" s="25">
        <f t="shared" si="15"/>
        <v>379</v>
      </c>
      <c r="B385" s="25"/>
      <c r="C385" s="25">
        <v>8</v>
      </c>
      <c r="D385" s="25" t="str">
        <f>VLOOKUP(C385,TB_FNX_TIPO_RESOURCE_BUNDLE!$A$7:$B$28,2,FALSE)</f>
        <v>Lista</v>
      </c>
      <c r="E385" s="10" t="s">
        <v>213</v>
      </c>
      <c r="F385" s="2" t="s">
        <v>158</v>
      </c>
      <c r="G385" s="4" t="s">
        <v>778</v>
      </c>
      <c r="H385" s="25" t="str">
        <f t="shared" si="16"/>
        <v>#{msg['LST_RECURSOS_SELECIONADOS.label']}</v>
      </c>
      <c r="I385" s="25" t="str">
        <f t="shared" si="17"/>
        <v>#{msg['LST_RECURSOS_SELECIONADOS.hint']}</v>
      </c>
    </row>
    <row r="386" spans="1:9" x14ac:dyDescent="0.25">
      <c r="A386" s="25">
        <f t="shared" si="15"/>
        <v>380</v>
      </c>
      <c r="B386" s="25"/>
      <c r="C386" s="25">
        <v>8</v>
      </c>
      <c r="D386" s="25" t="str">
        <f>VLOOKUP(C386,TB_FNX_TIPO_RESOURCE_BUNDLE!$A$7:$B$28,2,FALSE)</f>
        <v>Lista</v>
      </c>
      <c r="E386" s="10" t="s">
        <v>285</v>
      </c>
      <c r="F386" s="2" t="s">
        <v>296</v>
      </c>
      <c r="G386" s="4" t="s">
        <v>307</v>
      </c>
      <c r="H386" s="25" t="str">
        <f t="shared" si="16"/>
        <v>#{msg['LST_UNIDADES.label']}</v>
      </c>
      <c r="I386" s="25" t="str">
        <f t="shared" si="17"/>
        <v>#{msg['LST_UNIDADES.hint']}</v>
      </c>
    </row>
    <row r="387" spans="1:9" x14ac:dyDescent="0.25">
      <c r="A387" s="25">
        <f t="shared" si="15"/>
        <v>381</v>
      </c>
      <c r="B387" s="25"/>
      <c r="C387" s="25">
        <v>8</v>
      </c>
      <c r="D387" s="25" t="str">
        <f>VLOOKUP(C387,TB_FNX_TIPO_RESOURCE_BUNDLE!$A$7:$B$28,2,FALSE)</f>
        <v>Lista</v>
      </c>
      <c r="E387" s="10" t="s">
        <v>214</v>
      </c>
      <c r="F387" s="2" t="s">
        <v>166</v>
      </c>
      <c r="G387" s="4" t="s">
        <v>779</v>
      </c>
      <c r="H387" s="25" t="str">
        <f t="shared" si="16"/>
        <v>#{msg['LST_USUARIOS.label']}</v>
      </c>
      <c r="I387" s="25" t="str">
        <f t="shared" si="17"/>
        <v>#{msg['LST_USUARIOS.hint']}</v>
      </c>
    </row>
    <row r="388" spans="1:9" x14ac:dyDescent="0.25">
      <c r="A388" s="25">
        <f t="shared" si="15"/>
        <v>382</v>
      </c>
      <c r="B388" s="25"/>
      <c r="C388" s="25">
        <v>9</v>
      </c>
      <c r="D388" s="25" t="str">
        <f>VLOOKUP(C388,TB_FNX_TIPO_RESOURCE_BUNDLE!$A$7:$B$28,2,FALSE)</f>
        <v>Propriedade</v>
      </c>
      <c r="E388" s="10" t="s">
        <v>265</v>
      </c>
      <c r="F388" s="2" t="s">
        <v>267</v>
      </c>
      <c r="G388" s="4" t="s">
        <v>780</v>
      </c>
      <c r="H388" s="25" t="str">
        <f t="shared" si="16"/>
        <v>#{msg['NO_DATA.label']}</v>
      </c>
      <c r="I388" s="25" t="str">
        <f t="shared" si="17"/>
        <v>#{msg['NO_DATA.hint']}</v>
      </c>
    </row>
    <row r="389" spans="1:9" x14ac:dyDescent="0.2">
      <c r="A389" s="25">
        <f t="shared" si="15"/>
        <v>383</v>
      </c>
      <c r="C389" s="25">
        <v>4</v>
      </c>
      <c r="D389" s="25" t="str">
        <f>VLOOKUP(C389,TB_FNX_TIPO_RESOURCE_BUNDLE!$A$7:$B$28,2,FALSE)</f>
        <v>Rótulo de entrada de texto</v>
      </c>
      <c r="E389" s="31" t="s">
        <v>1729</v>
      </c>
      <c r="F389" s="31" t="s">
        <v>1730</v>
      </c>
      <c r="G389" s="31" t="s">
        <v>1730</v>
      </c>
      <c r="H389" s="25" t="str">
        <f t="shared" si="16"/>
        <v>#{msg['LBL_ENVPROJ_ORCAMENTO.label']}</v>
      </c>
      <c r="I389" s="25" t="str">
        <f t="shared" si="17"/>
        <v>#{msg['LBL_ENVPROJ_ORCAMENTO.hint']}</v>
      </c>
    </row>
    <row r="390" spans="1:9" x14ac:dyDescent="0.2">
      <c r="A390" s="25">
        <f t="shared" si="15"/>
        <v>384</v>
      </c>
      <c r="C390" s="25">
        <v>4</v>
      </c>
      <c r="D390" s="25" t="str">
        <f>VLOOKUP(C390,TB_FNX_TIPO_RESOURCE_BUNDLE!$A$7:$B$28,2,FALSE)</f>
        <v>Rótulo de entrada de texto</v>
      </c>
      <c r="E390" s="31" t="s">
        <v>1731</v>
      </c>
      <c r="F390" s="31" t="s">
        <v>921</v>
      </c>
      <c r="G390" s="31" t="s">
        <v>921</v>
      </c>
      <c r="H390" s="25" t="str">
        <f t="shared" si="16"/>
        <v>#{msg['LBL_ENVPROJ_ACAO.label']}</v>
      </c>
      <c r="I390" s="25" t="str">
        <f t="shared" si="17"/>
        <v>#{msg['LBL_ENVPROJ_ACAO.hint']}</v>
      </c>
    </row>
    <row r="391" spans="1:9" x14ac:dyDescent="0.2">
      <c r="A391" s="25">
        <f t="shared" si="15"/>
        <v>385</v>
      </c>
      <c r="C391" s="25">
        <v>4</v>
      </c>
      <c r="D391" s="25" t="str">
        <f>VLOOKUP(C391,TB_FNX_TIPO_RESOURCE_BUNDLE!$A$7:$B$28,2,FALSE)</f>
        <v>Rótulo de entrada de texto</v>
      </c>
      <c r="E391" s="31" t="s">
        <v>1732</v>
      </c>
      <c r="F391" s="31" t="s">
        <v>136</v>
      </c>
      <c r="G391" s="31" t="s">
        <v>136</v>
      </c>
      <c r="H391" s="25" t="str">
        <f t="shared" si="16"/>
        <v>#{msg['LBL_ENVPROJ_PROJETO.label']}</v>
      </c>
      <c r="I391" s="25" t="str">
        <f t="shared" si="17"/>
        <v>#{msg['LBL_ENVPROJ_PROJETO.hint']}</v>
      </c>
    </row>
    <row r="392" spans="1:9" x14ac:dyDescent="0.2">
      <c r="A392" s="25">
        <f t="shared" ref="A392:A455" si="18">A391+1</f>
        <v>386</v>
      </c>
      <c r="C392" s="25">
        <v>4</v>
      </c>
      <c r="D392" s="25" t="str">
        <f>VLOOKUP(C392,TB_FNX_TIPO_RESOURCE_BUNDLE!$A$7:$B$28,2,FALSE)</f>
        <v>Rótulo de entrada de texto</v>
      </c>
      <c r="E392" s="31" t="s">
        <v>1733</v>
      </c>
      <c r="F392" s="31" t="s">
        <v>1734</v>
      </c>
      <c r="G392" s="31" t="s">
        <v>1734</v>
      </c>
      <c r="H392" s="25" t="str">
        <f t="shared" ref="H392:H455" si="19">CONCATENATE("#{msg['",$E392,".label']}")</f>
        <v>#{msg['LBL_ENVPROJ_TITULO.label']}</v>
      </c>
      <c r="I392" s="25" t="str">
        <f t="shared" ref="I392:I455" si="20">CONCATENATE("#{msg['",$E392,".hint']}")</f>
        <v>#{msg['LBL_ENVPROJ_TITULO.hint']}</v>
      </c>
    </row>
    <row r="393" spans="1:9" x14ac:dyDescent="0.2">
      <c r="A393" s="25">
        <f t="shared" si="18"/>
        <v>387</v>
      </c>
      <c r="C393" s="25">
        <v>4</v>
      </c>
      <c r="D393" s="25" t="str">
        <f>VLOOKUP(C393,TB_FNX_TIPO_RESOURCE_BUNDLE!$A$7:$B$28,2,FALSE)</f>
        <v>Rótulo de entrada de texto</v>
      </c>
      <c r="E393" s="31" t="s">
        <v>1735</v>
      </c>
      <c r="F393" s="31" t="s">
        <v>1710</v>
      </c>
      <c r="G393" s="31" t="s">
        <v>1710</v>
      </c>
      <c r="H393" s="25" t="str">
        <f t="shared" si="19"/>
        <v>#{msg['LBL_ENVPROJ_NOPEND.label']}</v>
      </c>
      <c r="I393" s="25" t="str">
        <f t="shared" si="20"/>
        <v>#{msg['LBL_ENVPROJ_NOPEND.hint']}</v>
      </c>
    </row>
    <row r="394" spans="1:9" x14ac:dyDescent="0.2">
      <c r="A394" s="25">
        <f t="shared" si="18"/>
        <v>388</v>
      </c>
      <c r="C394" s="25">
        <v>4</v>
      </c>
      <c r="D394" s="25" t="str">
        <f>VLOOKUP(C394,TB_FNX_TIPO_RESOURCE_BUNDLE!$A$7:$B$28,2,FALSE)</f>
        <v>Rótulo de entrada de texto</v>
      </c>
      <c r="E394" s="31" t="s">
        <v>1736</v>
      </c>
      <c r="F394" s="31" t="s">
        <v>1737</v>
      </c>
      <c r="G394" s="31" t="s">
        <v>1738</v>
      </c>
      <c r="H394" s="25" t="str">
        <f t="shared" si="19"/>
        <v>#{msg['LBL_ENVPROJ_PENDENCIA.label']}</v>
      </c>
      <c r="I394" s="25" t="str">
        <f t="shared" si="20"/>
        <v>#{msg['LBL_ENVPROJ_PENDENCIA.hint']}</v>
      </c>
    </row>
    <row r="395" spans="1:9" x14ac:dyDescent="0.2">
      <c r="A395" s="25">
        <f t="shared" si="18"/>
        <v>389</v>
      </c>
      <c r="C395" s="25">
        <v>4</v>
      </c>
      <c r="D395" s="25" t="str">
        <f>VLOOKUP(C395,TB_FNX_TIPO_RESOURCE_BUNDLE!$A$7:$B$28,2,FALSE)</f>
        <v>Rótulo de entrada de texto</v>
      </c>
      <c r="E395" s="31" t="s">
        <v>1739</v>
      </c>
      <c r="F395" s="31" t="s">
        <v>699</v>
      </c>
      <c r="G395" s="31" t="s">
        <v>700</v>
      </c>
      <c r="H395" s="25" t="str">
        <f t="shared" si="19"/>
        <v>#{msg['LBL_ENVPROJ_DESCRICAO.label']}</v>
      </c>
      <c r="I395" s="25" t="str">
        <f t="shared" si="20"/>
        <v>#{msg['LBL_ENVPROJ_DESCRICAO.hint']}</v>
      </c>
    </row>
    <row r="396" spans="1:9" x14ac:dyDescent="0.2">
      <c r="A396" s="25">
        <f t="shared" si="18"/>
        <v>390</v>
      </c>
      <c r="C396" s="25">
        <v>4</v>
      </c>
      <c r="D396" s="25" t="str">
        <f>VLOOKUP(C396,TB_FNX_TIPO_RESOURCE_BUNDLE!$A$7:$B$28,2,FALSE)</f>
        <v>Rótulo de entrada de texto</v>
      </c>
      <c r="E396" s="31" t="s">
        <v>1740</v>
      </c>
      <c r="F396" s="31" t="s">
        <v>1741</v>
      </c>
      <c r="G396" s="31" t="s">
        <v>1742</v>
      </c>
      <c r="H396" s="25" t="str">
        <f t="shared" si="19"/>
        <v>#{msg['LBL_ENVPROJ_IMPEDE.label']}</v>
      </c>
      <c r="I396" s="25" t="str">
        <f t="shared" si="20"/>
        <v>#{msg['LBL_ENVPROJ_IMPEDE.hint']}</v>
      </c>
    </row>
    <row r="397" spans="1:9" x14ac:dyDescent="0.2">
      <c r="A397" s="25">
        <f t="shared" si="18"/>
        <v>391</v>
      </c>
      <c r="C397" s="25">
        <v>1</v>
      </c>
      <c r="D397" s="25" t="str">
        <f>VLOOKUP(C397,TB_FNX_TIPO_RESOURCE_BUNDLE!$A$7:$B$28,2,FALSE)</f>
        <v>Botão</v>
      </c>
      <c r="E397" s="31" t="s">
        <v>1743</v>
      </c>
      <c r="F397" s="31" t="s">
        <v>915</v>
      </c>
      <c r="G397" s="31" t="s">
        <v>1744</v>
      </c>
      <c r="H397" s="25" t="str">
        <f t="shared" si="19"/>
        <v>#{msg['CMD_ENVPROJ_ENVIAR.label']}</v>
      </c>
      <c r="I397" s="25" t="str">
        <f t="shared" si="20"/>
        <v>#{msg['CMD_ENVPROJ_ENVIAR.hint']}</v>
      </c>
    </row>
    <row r="398" spans="1:9" x14ac:dyDescent="0.2">
      <c r="A398" s="25">
        <f t="shared" si="18"/>
        <v>392</v>
      </c>
      <c r="C398" s="25">
        <v>4</v>
      </c>
      <c r="D398" s="25" t="str">
        <f>VLOOKUP(C398,TB_FNX_TIPO_RESOURCE_BUNDLE!$A$7:$B$28,2,FALSE)</f>
        <v>Rótulo de entrada de texto</v>
      </c>
      <c r="E398" s="31" t="s">
        <v>1745</v>
      </c>
      <c r="F398" s="31" t="s">
        <v>1835</v>
      </c>
      <c r="G398" s="31"/>
      <c r="H398" s="25" t="str">
        <f t="shared" si="19"/>
        <v>#{msg['LBL_ENVPROJ_CONF_CONCLUIR.label']}</v>
      </c>
      <c r="I398" s="25" t="str">
        <f t="shared" si="20"/>
        <v>#{msg['LBL_ENVPROJ_CONF_CONCLUIR.hint']}</v>
      </c>
    </row>
    <row r="399" spans="1:9" x14ac:dyDescent="0.2">
      <c r="A399" s="25">
        <f t="shared" si="18"/>
        <v>393</v>
      </c>
      <c r="C399" s="25">
        <v>4</v>
      </c>
      <c r="D399" s="25" t="str">
        <f>VLOOKUP(C399,TB_FNX_TIPO_RESOURCE_BUNDLE!$A$7:$B$28,2,FALSE)</f>
        <v>Rótulo de entrada de texto</v>
      </c>
      <c r="E399" s="31" t="s">
        <v>1746</v>
      </c>
      <c r="F399" s="31" t="s">
        <v>1747</v>
      </c>
      <c r="G399" s="31"/>
      <c r="H399" s="25" t="str">
        <f t="shared" si="19"/>
        <v>#{msg['LBL_ENVPROJ_TLT_CONFIRMAR.label']}</v>
      </c>
      <c r="I399" s="25" t="str">
        <f t="shared" si="20"/>
        <v>#{msg['LBL_ENVPROJ_TLT_CONFIRMAR.hint']}</v>
      </c>
    </row>
    <row r="400" spans="1:9" x14ac:dyDescent="0.25">
      <c r="A400" s="25">
        <f t="shared" si="18"/>
        <v>394</v>
      </c>
      <c r="C400" s="25">
        <v>4</v>
      </c>
      <c r="D400" s="25" t="str">
        <f>VLOOKUP(C400,TB_FNX_TIPO_RESOURCE_BUNDLE!$A$7:$B$28,2,FALSE)</f>
        <v>Rótulo de entrada de texto</v>
      </c>
      <c r="E400" s="25" t="s">
        <v>1757</v>
      </c>
      <c r="F400" s="32" t="s">
        <v>1758</v>
      </c>
      <c r="G400" s="32" t="s">
        <v>1759</v>
      </c>
      <c r="H400" s="25" t="str">
        <f t="shared" si="19"/>
        <v>#{msg['LBL_NCM_FLT_CODIGO.label']}</v>
      </c>
      <c r="I400" s="25" t="str">
        <f t="shared" si="20"/>
        <v>#{msg['LBL_NCM_FLT_CODIGO.hint']}</v>
      </c>
    </row>
    <row r="401" spans="1:9" x14ac:dyDescent="0.25">
      <c r="A401" s="25">
        <f t="shared" si="18"/>
        <v>395</v>
      </c>
      <c r="C401" s="25">
        <v>4</v>
      </c>
      <c r="D401" s="25" t="str">
        <f>VLOOKUP(C401,TB_FNX_TIPO_RESOURCE_BUNDLE!$A$7:$B$28,2,FALSE)</f>
        <v>Rótulo de entrada de texto</v>
      </c>
      <c r="E401" s="25" t="s">
        <v>1760</v>
      </c>
      <c r="F401" s="25" t="s">
        <v>1761</v>
      </c>
      <c r="G401" s="26"/>
      <c r="H401" s="25" t="str">
        <f t="shared" si="19"/>
        <v>#{msg['LBL_NCM_TIT_DISPONIVEIS.label']}</v>
      </c>
      <c r="I401" s="25" t="str">
        <f t="shared" si="20"/>
        <v>#{msg['LBL_NCM_TIT_DISPONIVEIS.hint']}</v>
      </c>
    </row>
    <row r="402" spans="1:9" x14ac:dyDescent="0.25">
      <c r="A402" s="25">
        <f t="shared" si="18"/>
        <v>396</v>
      </c>
      <c r="C402" s="25">
        <v>4</v>
      </c>
      <c r="D402" s="25" t="str">
        <f>VLOOKUP(C402,TB_FNX_TIPO_RESOURCE_BUNDLE!$A$7:$B$28,2,FALSE)</f>
        <v>Rótulo de entrada de texto</v>
      </c>
      <c r="E402" s="25" t="s">
        <v>1762</v>
      </c>
      <c r="F402" s="25" t="s">
        <v>1763</v>
      </c>
      <c r="G402" s="26"/>
      <c r="H402" s="25" t="str">
        <f t="shared" si="19"/>
        <v>#{msg['LBL_NCM_TIT_SELECIONADOS.label']}</v>
      </c>
      <c r="I402" s="25" t="str">
        <f t="shared" si="20"/>
        <v>#{msg['LBL_NCM_TIT_SELECIONADOS.hint']}</v>
      </c>
    </row>
    <row r="403" spans="1:9" x14ac:dyDescent="0.25">
      <c r="A403" s="25">
        <f t="shared" si="18"/>
        <v>397</v>
      </c>
      <c r="C403" s="25">
        <v>4</v>
      </c>
      <c r="D403" s="25" t="str">
        <f>VLOOKUP(C403,TB_FNX_TIPO_RESOURCE_BUNDLE!$A$7:$B$28,2,FALSE)</f>
        <v>Rótulo de entrada de texto</v>
      </c>
      <c r="E403" s="25" t="s">
        <v>1764</v>
      </c>
      <c r="F403" s="25" t="s">
        <v>1758</v>
      </c>
      <c r="G403" s="32" t="s">
        <v>1759</v>
      </c>
      <c r="H403" s="25" t="str">
        <f t="shared" si="19"/>
        <v>#{msg['LBL_NCM_FLT_CODIGO2.label']}</v>
      </c>
      <c r="I403" s="25" t="str">
        <f t="shared" si="20"/>
        <v>#{msg['LBL_NCM_FLT_CODIGO2.hint']}</v>
      </c>
    </row>
    <row r="404" spans="1:9" x14ac:dyDescent="0.25">
      <c r="A404" s="25">
        <f t="shared" si="18"/>
        <v>398</v>
      </c>
      <c r="C404" s="25">
        <v>4</v>
      </c>
      <c r="D404" s="25" t="str">
        <f>VLOOKUP(C404,TB_FNX_TIPO_RESOURCE_BUNDLE!$A$7:$B$28,2,FALSE)</f>
        <v>Rótulo de entrada de texto</v>
      </c>
      <c r="E404" s="25" t="s">
        <v>1765</v>
      </c>
      <c r="F404" s="25" t="s">
        <v>1766</v>
      </c>
      <c r="G404" s="26"/>
      <c r="H404" s="25" t="str">
        <f t="shared" si="19"/>
        <v>#{msg['LBL_NCM_TIT_TABELA1.label']}</v>
      </c>
      <c r="I404" s="25" t="str">
        <f t="shared" si="20"/>
        <v>#{msg['LBL_NCM_TIT_TABELA1.hint']}</v>
      </c>
    </row>
    <row r="405" spans="1:9" x14ac:dyDescent="0.25">
      <c r="A405" s="25">
        <f t="shared" si="18"/>
        <v>399</v>
      </c>
      <c r="C405" s="25">
        <v>4</v>
      </c>
      <c r="D405" s="25" t="str">
        <f>VLOOKUP(C405,TB_FNX_TIPO_RESOURCE_BUNDLE!$A$7:$B$28,2,FALSE)</f>
        <v>Rótulo de entrada de texto</v>
      </c>
      <c r="E405" s="25" t="s">
        <v>1767</v>
      </c>
      <c r="F405" s="25" t="s">
        <v>1766</v>
      </c>
      <c r="G405" s="26"/>
      <c r="H405" s="25" t="str">
        <f t="shared" si="19"/>
        <v>#{msg['LBL_NCM_TIT_TABELA2.label']}</v>
      </c>
      <c r="I405" s="25" t="str">
        <f t="shared" si="20"/>
        <v>#{msg['LBL_NCM_TIT_TABELA2.hint']}</v>
      </c>
    </row>
    <row r="406" spans="1:9" x14ac:dyDescent="0.25">
      <c r="A406" s="25">
        <f t="shared" si="18"/>
        <v>400</v>
      </c>
      <c r="C406" s="25">
        <v>4</v>
      </c>
      <c r="D406" s="25" t="str">
        <f>VLOOKUP(C406,TB_FNX_TIPO_RESOURCE_BUNDLE!$A$7:$B$28,2,FALSE)</f>
        <v>Rótulo de entrada de texto</v>
      </c>
      <c r="E406" s="25" t="s">
        <v>1768</v>
      </c>
      <c r="F406" s="25" t="s">
        <v>289</v>
      </c>
      <c r="G406" s="26"/>
      <c r="H406" s="25" t="str">
        <f t="shared" si="19"/>
        <v>#{msg['CMD_NCM_PESQUISAR1.label']}</v>
      </c>
      <c r="I406" s="25" t="str">
        <f t="shared" si="20"/>
        <v>#{msg['CMD_NCM_PESQUISAR1.hint']}</v>
      </c>
    </row>
    <row r="407" spans="1:9" x14ac:dyDescent="0.25">
      <c r="A407" s="25">
        <f t="shared" si="18"/>
        <v>401</v>
      </c>
      <c r="C407" s="25">
        <v>4</v>
      </c>
      <c r="D407" s="25" t="str">
        <f>VLOOKUP(C407,TB_FNX_TIPO_RESOURCE_BUNDLE!$A$7:$B$28,2,FALSE)</f>
        <v>Rótulo de entrada de texto</v>
      </c>
      <c r="E407" s="25" t="s">
        <v>1769</v>
      </c>
      <c r="F407" s="25" t="s">
        <v>289</v>
      </c>
      <c r="G407" s="26"/>
      <c r="H407" s="25" t="str">
        <f t="shared" si="19"/>
        <v>#{msg['CMD_NCM_PESQUISAR2.label']}</v>
      </c>
      <c r="I407" s="25" t="str">
        <f t="shared" si="20"/>
        <v>#{msg['CMD_NCM_PESQUISAR2.hint']}</v>
      </c>
    </row>
    <row r="408" spans="1:9" x14ac:dyDescent="0.25">
      <c r="A408" s="25">
        <f t="shared" si="18"/>
        <v>402</v>
      </c>
      <c r="C408" s="25">
        <v>4</v>
      </c>
      <c r="D408" s="25" t="str">
        <f>VLOOKUP(C408,TB_FNX_TIPO_RESOURCE_BUNDLE!$A$7:$B$28,2,FALSE)</f>
        <v>Rótulo de entrada de texto</v>
      </c>
      <c r="E408" s="25" t="s">
        <v>1770</v>
      </c>
      <c r="F408" s="25" t="s">
        <v>1771</v>
      </c>
      <c r="G408" s="26"/>
      <c r="H408" s="25" t="str">
        <f t="shared" si="19"/>
        <v>#{msg['LBL_NCM_RAD1_TODOS.label']}</v>
      </c>
      <c r="I408" s="25" t="str">
        <f t="shared" si="20"/>
        <v>#{msg['LBL_NCM_RAD1_TODOS.hint']}</v>
      </c>
    </row>
    <row r="409" spans="1:9" x14ac:dyDescent="0.25">
      <c r="A409" s="25">
        <f t="shared" si="18"/>
        <v>403</v>
      </c>
      <c r="C409" s="25">
        <v>4</v>
      </c>
      <c r="D409" s="25" t="str">
        <f>VLOOKUP(C409,TB_FNX_TIPO_RESOURCE_BUNDLE!$A$7:$B$28,2,FALSE)</f>
        <v>Rótulo de entrada de texto</v>
      </c>
      <c r="E409" s="25" t="s">
        <v>1772</v>
      </c>
      <c r="F409" s="25" t="s">
        <v>1773</v>
      </c>
      <c r="G409" s="26"/>
      <c r="H409" s="25" t="str">
        <f t="shared" si="19"/>
        <v>#{msg['LBL_NCM_RAD1_NCM.label']}</v>
      </c>
      <c r="I409" s="25" t="str">
        <f t="shared" si="20"/>
        <v>#{msg['LBL_NCM_RAD1_NCM.hint']}</v>
      </c>
    </row>
    <row r="410" spans="1:9" x14ac:dyDescent="0.25">
      <c r="A410" s="25">
        <f t="shared" si="18"/>
        <v>404</v>
      </c>
      <c r="C410" s="25">
        <v>4</v>
      </c>
      <c r="D410" s="25" t="str">
        <f>VLOOKUP(C410,TB_FNX_TIPO_RESOURCE_BUNDLE!$A$7:$B$28,2,FALSE)</f>
        <v>Rótulo de entrada de texto</v>
      </c>
      <c r="E410" s="25" t="s">
        <v>1774</v>
      </c>
      <c r="F410" s="25" t="s">
        <v>1775</v>
      </c>
      <c r="G410" s="26"/>
      <c r="H410" s="25" t="str">
        <f t="shared" si="19"/>
        <v>#{msg['LBL_NCM_RAD1_NBS.label']}</v>
      </c>
      <c r="I410" s="25" t="str">
        <f t="shared" si="20"/>
        <v>#{msg['LBL_NCM_RAD1_NBS.hint']}</v>
      </c>
    </row>
    <row r="411" spans="1:9" x14ac:dyDescent="0.25">
      <c r="A411" s="25">
        <f t="shared" si="18"/>
        <v>405</v>
      </c>
      <c r="C411" s="25">
        <v>4</v>
      </c>
      <c r="D411" s="25" t="str">
        <f>VLOOKUP(C411,TB_FNX_TIPO_RESOURCE_BUNDLE!$A$7:$B$28,2,FALSE)</f>
        <v>Rótulo de entrada de texto</v>
      </c>
      <c r="E411" s="25" t="s">
        <v>1776</v>
      </c>
      <c r="F411" s="25" t="s">
        <v>1771</v>
      </c>
      <c r="G411" s="26"/>
      <c r="H411" s="25" t="str">
        <f t="shared" si="19"/>
        <v>#{msg['LBL_NCM_RAD2_TODOS.label']}</v>
      </c>
      <c r="I411" s="25" t="str">
        <f t="shared" si="20"/>
        <v>#{msg['LBL_NCM_RAD2_TODOS.hint']}</v>
      </c>
    </row>
    <row r="412" spans="1:9" x14ac:dyDescent="0.25">
      <c r="A412" s="25">
        <f t="shared" si="18"/>
        <v>406</v>
      </c>
      <c r="C412" s="25">
        <v>4</v>
      </c>
      <c r="D412" s="25" t="str">
        <f>VLOOKUP(C412,TB_FNX_TIPO_RESOURCE_BUNDLE!$A$7:$B$28,2,FALSE)</f>
        <v>Rótulo de entrada de texto</v>
      </c>
      <c r="E412" s="25" t="s">
        <v>1777</v>
      </c>
      <c r="F412" s="25" t="s">
        <v>1773</v>
      </c>
      <c r="G412" s="26"/>
      <c r="H412" s="25" t="str">
        <f t="shared" si="19"/>
        <v>#{msg['LBL_NCM_RAD2_NCM.label']}</v>
      </c>
      <c r="I412" s="25" t="str">
        <f t="shared" si="20"/>
        <v>#{msg['LBL_NCM_RAD2_NCM.hint']}</v>
      </c>
    </row>
    <row r="413" spans="1:9" x14ac:dyDescent="0.25">
      <c r="A413" s="25">
        <f t="shared" si="18"/>
        <v>407</v>
      </c>
      <c r="C413" s="25">
        <v>4</v>
      </c>
      <c r="D413" s="25" t="str">
        <f>VLOOKUP(C413,TB_FNX_TIPO_RESOURCE_BUNDLE!$A$7:$B$28,2,FALSE)</f>
        <v>Rótulo de entrada de texto</v>
      </c>
      <c r="E413" s="25" t="s">
        <v>1778</v>
      </c>
      <c r="F413" s="25" t="s">
        <v>1775</v>
      </c>
      <c r="G413" s="26"/>
      <c r="H413" s="25" t="str">
        <f t="shared" si="19"/>
        <v>#{msg['LBL_NCM_RAD2_NBS.label']}</v>
      </c>
      <c r="I413" s="25" t="str">
        <f t="shared" si="20"/>
        <v>#{msg['LBL_NCM_RAD2_NBS.hint']}</v>
      </c>
    </row>
    <row r="414" spans="1:9" x14ac:dyDescent="0.25">
      <c r="A414" s="25">
        <f t="shared" si="18"/>
        <v>408</v>
      </c>
      <c r="B414" s="25" t="s">
        <v>1779</v>
      </c>
      <c r="C414" s="25">
        <v>7</v>
      </c>
      <c r="D414" s="25" t="str">
        <f>VLOOKUP(C414,TB_FNX_TIPO_RESOURCE_BUNDLE!$A$7:$B$28,2,FALSE)</f>
        <v>Página</v>
      </c>
      <c r="E414" s="25" t="s">
        <v>1780</v>
      </c>
      <c r="F414" s="25" t="s">
        <v>1781</v>
      </c>
      <c r="H414" s="25" t="str">
        <f t="shared" si="19"/>
        <v>#{msg['PAG_TITLE_AUTH.label']}</v>
      </c>
      <c r="I414" s="25" t="str">
        <f t="shared" si="20"/>
        <v>#{msg['PAG_TITLE_AUTH.hint']}</v>
      </c>
    </row>
    <row r="415" spans="1:9" x14ac:dyDescent="0.25">
      <c r="A415" s="25">
        <f t="shared" si="18"/>
        <v>409</v>
      </c>
      <c r="B415" s="25" t="s">
        <v>1779</v>
      </c>
      <c r="C415" s="25">
        <v>3</v>
      </c>
      <c r="D415" s="25" t="str">
        <f>VLOOKUP(C415,TB_FNX_TIPO_RESOURCE_BUNDLE!$A$7:$B$28,2,FALSE)</f>
        <v>Grupo de Componentes</v>
      </c>
      <c r="E415" s="25" t="s">
        <v>1782</v>
      </c>
      <c r="F415" s="25" t="s">
        <v>1781</v>
      </c>
      <c r="H415" s="25" t="str">
        <f t="shared" si="19"/>
        <v>#{msg['LBL_AUTH_TAB.label']}</v>
      </c>
      <c r="I415" s="25" t="str">
        <f t="shared" si="20"/>
        <v>#{msg['LBL_AUTH_TAB.hint']}</v>
      </c>
    </row>
    <row r="416" spans="1:9" x14ac:dyDescent="0.25">
      <c r="A416" s="25">
        <f t="shared" si="18"/>
        <v>410</v>
      </c>
      <c r="B416" s="25" t="s">
        <v>1779</v>
      </c>
      <c r="C416" s="25">
        <v>4</v>
      </c>
      <c r="D416" s="25" t="str">
        <f>VLOOKUP(C416,TB_FNX_TIPO_RESOURCE_BUNDLE!$A$7:$B$28,2,FALSE)</f>
        <v>Rótulo de entrada de texto</v>
      </c>
      <c r="E416" s="25" t="s">
        <v>1783</v>
      </c>
      <c r="F416" s="25" t="s">
        <v>228</v>
      </c>
      <c r="H416" s="25" t="str">
        <f t="shared" si="19"/>
        <v>#{msg['LBL_AUTH_TXT_USR.label']}</v>
      </c>
      <c r="I416" s="25" t="str">
        <f t="shared" si="20"/>
        <v>#{msg['LBL_AUTH_TXT_USR.hint']}</v>
      </c>
    </row>
    <row r="417" spans="1:9" x14ac:dyDescent="0.25">
      <c r="A417" s="25">
        <f t="shared" si="18"/>
        <v>411</v>
      </c>
      <c r="B417" s="25" t="s">
        <v>1779</v>
      </c>
      <c r="C417" s="25">
        <v>4</v>
      </c>
      <c r="D417" s="25" t="str">
        <f>VLOOKUP(C417,TB_FNX_TIPO_RESOURCE_BUNDLE!$A$7:$B$28,2,FALSE)</f>
        <v>Rótulo de entrada de texto</v>
      </c>
      <c r="E417" s="25" t="s">
        <v>1784</v>
      </c>
      <c r="F417" s="25" t="s">
        <v>1785</v>
      </c>
      <c r="H417" s="25" t="str">
        <f t="shared" si="19"/>
        <v>#{msg['LBL_AUTH_TXT_PWD.label']}</v>
      </c>
      <c r="I417" s="25" t="str">
        <f t="shared" si="20"/>
        <v>#{msg['LBL_AUTH_TXT_PWD.hint']}</v>
      </c>
    </row>
    <row r="418" spans="1:9" x14ac:dyDescent="0.25">
      <c r="A418" s="25">
        <f t="shared" si="18"/>
        <v>412</v>
      </c>
      <c r="B418" s="25" t="s">
        <v>1779</v>
      </c>
      <c r="C418" s="25">
        <v>1</v>
      </c>
      <c r="D418" s="25" t="str">
        <f>VLOOKUP(C418,TB_FNX_TIPO_RESOURCE_BUNDLE!$A$7:$B$28,2,FALSE)</f>
        <v>Botão</v>
      </c>
      <c r="E418" s="25" t="s">
        <v>1786</v>
      </c>
      <c r="F418" s="25" t="s">
        <v>1787</v>
      </c>
      <c r="H418" s="25" t="str">
        <f t="shared" si="19"/>
        <v>#{msg['CMD_AUTH_LOGIN.label']}</v>
      </c>
      <c r="I418" s="25" t="str">
        <f t="shared" si="20"/>
        <v>#{msg['CMD_AUTH_LOGIN.hint']}</v>
      </c>
    </row>
    <row r="419" spans="1:9" x14ac:dyDescent="0.25">
      <c r="A419" s="25">
        <f t="shared" si="18"/>
        <v>413</v>
      </c>
      <c r="B419" s="25" t="s">
        <v>1779</v>
      </c>
      <c r="C419" s="25">
        <v>1</v>
      </c>
      <c r="D419" s="25" t="str">
        <f>VLOOKUP(C419,TB_FNX_TIPO_RESOURCE_BUNDLE!$A$7:$B$28,2,FALSE)</f>
        <v>Botão</v>
      </c>
      <c r="E419" s="25" t="s">
        <v>1788</v>
      </c>
      <c r="F419" s="25" t="s">
        <v>1789</v>
      </c>
      <c r="H419" s="25" t="str">
        <f t="shared" si="19"/>
        <v>#{msg['CMD_AUTH_ESQUECI_SENHA.label']}</v>
      </c>
      <c r="I419" s="25" t="str">
        <f t="shared" si="20"/>
        <v>#{msg['CMD_AUTH_ESQUECI_SENHA.hint']}</v>
      </c>
    </row>
    <row r="420" spans="1:9" x14ac:dyDescent="0.25">
      <c r="A420" s="25">
        <f t="shared" si="18"/>
        <v>414</v>
      </c>
      <c r="B420" s="25" t="s">
        <v>1779</v>
      </c>
      <c r="C420" s="25">
        <v>4</v>
      </c>
      <c r="D420" s="25" t="str">
        <f>VLOOKUP(C420,TB_FNX_TIPO_RESOURCE_BUNDLE!$A$7:$B$28,2,FALSE)</f>
        <v>Rótulo de entrada de texto</v>
      </c>
      <c r="E420" s="25" t="s">
        <v>1790</v>
      </c>
      <c r="F420" s="25" t="s">
        <v>1791</v>
      </c>
      <c r="H420" s="25" t="str">
        <f t="shared" si="19"/>
        <v>#{msg['LBL_AUTH_TXT_EMAIL.label']}</v>
      </c>
      <c r="I420" s="25" t="str">
        <f t="shared" si="20"/>
        <v>#{msg['LBL_AUTH_TXT_EMAIL.hint']}</v>
      </c>
    </row>
    <row r="421" spans="1:9" x14ac:dyDescent="0.25">
      <c r="A421" s="25">
        <f t="shared" si="18"/>
        <v>415</v>
      </c>
      <c r="B421" s="25" t="s">
        <v>1779</v>
      </c>
      <c r="C421" s="25">
        <v>1</v>
      </c>
      <c r="D421" s="25" t="str">
        <f>VLOOKUP(C421,TB_FNX_TIPO_RESOURCE_BUNDLE!$A$7:$B$28,2,FALSE)</f>
        <v>Botão</v>
      </c>
      <c r="E421" s="25" t="s">
        <v>1792</v>
      </c>
      <c r="F421" s="25" t="s">
        <v>1793</v>
      </c>
      <c r="H421" s="25" t="str">
        <f t="shared" si="19"/>
        <v>#{msg['CMD_AUTH_GERAR_NOVA_SENHA.label']}</v>
      </c>
      <c r="I421" s="25" t="str">
        <f t="shared" si="20"/>
        <v>#{msg['CMD_AUTH_GERAR_NOVA_SENHA.hint']}</v>
      </c>
    </row>
    <row r="422" spans="1:9" x14ac:dyDescent="0.25">
      <c r="A422" s="25">
        <f t="shared" si="18"/>
        <v>416</v>
      </c>
      <c r="B422" s="25" t="s">
        <v>1779</v>
      </c>
      <c r="C422" s="25">
        <v>3</v>
      </c>
      <c r="D422" s="25" t="str">
        <f>VLOOKUP(C422,TB_FNX_TIPO_RESOURCE_BUNDLE!$A$7:$B$28,2,FALSE)</f>
        <v>Grupo de Componentes</v>
      </c>
      <c r="E422" s="25" t="s">
        <v>1794</v>
      </c>
      <c r="F422" s="25" t="s">
        <v>1795</v>
      </c>
      <c r="H422" s="25" t="str">
        <f t="shared" si="19"/>
        <v>#{msg['LBL_AUTH_ALTERAR_SENHA.label']}</v>
      </c>
      <c r="I422" s="25" t="str">
        <f t="shared" si="20"/>
        <v>#{msg['LBL_AUTH_ALTERAR_SENHA.hint']}</v>
      </c>
    </row>
    <row r="423" spans="1:9" x14ac:dyDescent="0.25">
      <c r="A423" s="25">
        <f t="shared" si="18"/>
        <v>417</v>
      </c>
      <c r="B423" s="25" t="s">
        <v>1779</v>
      </c>
      <c r="C423" s="25">
        <v>4</v>
      </c>
      <c r="D423" s="25" t="str">
        <f>VLOOKUP(C423,TB_FNX_TIPO_RESOURCE_BUNDLE!$A$7:$B$28,2,FALSE)</f>
        <v>Rótulo de entrada de texto</v>
      </c>
      <c r="E423" s="25" t="s">
        <v>1796</v>
      </c>
      <c r="F423" s="25" t="s">
        <v>1797</v>
      </c>
      <c r="H423" s="25" t="str">
        <f t="shared" si="19"/>
        <v>#{msg['LBL_AUTH_TXT_SENHA_ATUAL.label']}</v>
      </c>
      <c r="I423" s="25" t="str">
        <f t="shared" si="20"/>
        <v>#{msg['LBL_AUTH_TXT_SENHA_ATUAL.hint']}</v>
      </c>
    </row>
    <row r="424" spans="1:9" x14ac:dyDescent="0.25">
      <c r="A424" s="25">
        <f t="shared" si="18"/>
        <v>418</v>
      </c>
      <c r="B424" s="25" t="s">
        <v>1779</v>
      </c>
      <c r="C424" s="25">
        <v>4</v>
      </c>
      <c r="D424" s="25" t="str">
        <f>VLOOKUP(C424,TB_FNX_TIPO_RESOURCE_BUNDLE!$A$7:$B$28,2,FALSE)</f>
        <v>Rótulo de entrada de texto</v>
      </c>
      <c r="E424" s="25" t="s">
        <v>1798</v>
      </c>
      <c r="F424" s="25" t="s">
        <v>1799</v>
      </c>
      <c r="H424" s="25" t="str">
        <f t="shared" si="19"/>
        <v>#{msg['LBL_AUTH_TXT_NOVA_SENHA.label']}</v>
      </c>
      <c r="I424" s="25" t="str">
        <f t="shared" si="20"/>
        <v>#{msg['LBL_AUTH_TXT_NOVA_SENHA.hint']}</v>
      </c>
    </row>
    <row r="425" spans="1:9" x14ac:dyDescent="0.25">
      <c r="A425" s="25">
        <f t="shared" si="18"/>
        <v>419</v>
      </c>
      <c r="B425" s="25" t="s">
        <v>1779</v>
      </c>
      <c r="C425" s="25">
        <v>4</v>
      </c>
      <c r="D425" s="25" t="str">
        <f>VLOOKUP(C425,TB_FNX_TIPO_RESOURCE_BUNDLE!$A$7:$B$28,2,FALSE)</f>
        <v>Rótulo de entrada de texto</v>
      </c>
      <c r="E425" s="25" t="s">
        <v>1800</v>
      </c>
      <c r="F425" s="25" t="s">
        <v>1801</v>
      </c>
      <c r="H425" s="25" t="str">
        <f t="shared" si="19"/>
        <v>#{msg['LBL_AUTH_TXT_NOVA_SENHA_CONF.label']}</v>
      </c>
      <c r="I425" s="25" t="str">
        <f t="shared" si="20"/>
        <v>#{msg['LBL_AUTH_TXT_NOVA_SENHA_CONF.hint']}</v>
      </c>
    </row>
    <row r="426" spans="1:9" x14ac:dyDescent="0.25">
      <c r="A426" s="25">
        <f t="shared" si="18"/>
        <v>420</v>
      </c>
      <c r="B426" s="25" t="s">
        <v>1779</v>
      </c>
      <c r="C426" s="25">
        <v>1</v>
      </c>
      <c r="D426" s="25" t="str">
        <f>VLOOKUP(C426,TB_FNX_TIPO_RESOURCE_BUNDLE!$A$7:$B$28,2,FALSE)</f>
        <v>Botão</v>
      </c>
      <c r="E426" s="25" t="s">
        <v>1802</v>
      </c>
      <c r="F426" s="25" t="s">
        <v>162</v>
      </c>
      <c r="H426" s="25" t="str">
        <f t="shared" si="19"/>
        <v>#{msg['CMD_AUTH_GRAVAR_NOVA_SENHA.label']}</v>
      </c>
      <c r="I426" s="25" t="str">
        <f t="shared" si="20"/>
        <v>#{msg['CMD_AUTH_GRAVAR_NOVA_SENHA.hint']}</v>
      </c>
    </row>
    <row r="427" spans="1:9" x14ac:dyDescent="0.25">
      <c r="A427" s="25">
        <f t="shared" si="18"/>
        <v>421</v>
      </c>
      <c r="C427" s="25">
        <v>1</v>
      </c>
      <c r="D427" s="25" t="str">
        <f>VLOOKUP(C427,TB_FNX_TIPO_RESOURCE_BUNDLE!$A$7:$B$28,2,FALSE)</f>
        <v>Botão</v>
      </c>
      <c r="E427" s="10" t="s">
        <v>1886</v>
      </c>
      <c r="F427" s="10" t="s">
        <v>1887</v>
      </c>
      <c r="G427" s="17" t="s">
        <v>1888</v>
      </c>
      <c r="H427" s="25" t="str">
        <f t="shared" si="19"/>
        <v>#{msg['CMD_AN_PRJ_REJEITAR.label']}</v>
      </c>
      <c r="I427" s="25" t="str">
        <f t="shared" si="20"/>
        <v>#{msg['CMD_AN_PRJ_REJEITAR.hint']}</v>
      </c>
    </row>
    <row r="428" spans="1:9" x14ac:dyDescent="0.25">
      <c r="A428" s="25">
        <f t="shared" si="18"/>
        <v>422</v>
      </c>
      <c r="C428" s="25">
        <v>1</v>
      </c>
      <c r="D428" s="25" t="str">
        <f>VLOOKUP(C428,TB_FNX_TIPO_RESOURCE_BUNDLE!$A$7:$B$28,2,FALSE)</f>
        <v>Botão</v>
      </c>
      <c r="E428" s="10" t="s">
        <v>1889</v>
      </c>
      <c r="F428" s="10" t="s">
        <v>1890</v>
      </c>
      <c r="G428" s="17" t="s">
        <v>1891</v>
      </c>
      <c r="H428" s="25" t="str">
        <f t="shared" si="19"/>
        <v>#{msg['CMD_AN_PRJ_AJUSTAR.label']}</v>
      </c>
      <c r="I428" s="25" t="str">
        <f t="shared" si="20"/>
        <v>#{msg['CMD_AN_PRJ_AJUSTAR.hint']}</v>
      </c>
    </row>
    <row r="429" spans="1:9" x14ac:dyDescent="0.25">
      <c r="A429" s="25">
        <f t="shared" si="18"/>
        <v>423</v>
      </c>
      <c r="C429" s="25">
        <v>1</v>
      </c>
      <c r="D429" s="25" t="str">
        <f>VLOOKUP(C429,TB_FNX_TIPO_RESOURCE_BUNDLE!$A$7:$B$28,2,FALSE)</f>
        <v>Botão</v>
      </c>
      <c r="E429" s="10" t="s">
        <v>1892</v>
      </c>
      <c r="F429" s="10" t="s">
        <v>1893</v>
      </c>
      <c r="G429" s="17" t="s">
        <v>1894</v>
      </c>
      <c r="H429" s="25" t="str">
        <f t="shared" si="19"/>
        <v>#{msg['CMD_AN_PRJ_APROVAR.label']}</v>
      </c>
      <c r="I429" s="25" t="str">
        <f t="shared" si="20"/>
        <v>#{msg['CMD_AN_PRJ_APROVAR.hint']}</v>
      </c>
    </row>
    <row r="430" spans="1:9" x14ac:dyDescent="0.25">
      <c r="A430" s="25">
        <f t="shared" si="18"/>
        <v>424</v>
      </c>
      <c r="C430" s="25">
        <v>1</v>
      </c>
      <c r="D430" s="25" t="str">
        <f>VLOOKUP(C430,TB_FNX_TIPO_RESOURCE_BUNDLE!$A$7:$B$28,2,FALSE)</f>
        <v>Botão</v>
      </c>
      <c r="E430" s="10" t="s">
        <v>1895</v>
      </c>
      <c r="F430" s="10" t="s">
        <v>162</v>
      </c>
      <c r="G430" s="17" t="s">
        <v>1896</v>
      </c>
      <c r="H430" s="25" t="str">
        <f t="shared" si="19"/>
        <v>#{msg['CMD_INC_PRJ_GRAVAR.label']}</v>
      </c>
      <c r="I430" s="25" t="str">
        <f t="shared" si="20"/>
        <v>#{msg['CMD_INC_PRJ_GRAVAR.hint']}</v>
      </c>
    </row>
    <row r="431" spans="1:9" x14ac:dyDescent="0.25">
      <c r="A431" s="25">
        <f t="shared" si="18"/>
        <v>425</v>
      </c>
      <c r="C431" s="2">
        <v>4</v>
      </c>
      <c r="D431" s="25" t="str">
        <f>VLOOKUP(C431,TB_FNX_TIPO_RESOURCE_BUNDLE!$A$7:$B$28,2,FALSE)</f>
        <v>Rótulo de entrada de texto</v>
      </c>
      <c r="E431" s="10" t="s">
        <v>1897</v>
      </c>
      <c r="F431" s="10" t="s">
        <v>1898</v>
      </c>
      <c r="G431" s="17" t="s">
        <v>1898</v>
      </c>
      <c r="H431" s="25" t="str">
        <f t="shared" si="19"/>
        <v>#{msg['LBL_INC_PRJ_TP_PROJ.label']}</v>
      </c>
      <c r="I431" s="25" t="str">
        <f t="shared" si="20"/>
        <v>#{msg['LBL_INC_PRJ_TP_PROJ.hint']}</v>
      </c>
    </row>
    <row r="432" spans="1:9" x14ac:dyDescent="0.25">
      <c r="A432" s="25">
        <f t="shared" si="18"/>
        <v>426</v>
      </c>
      <c r="C432" s="2">
        <v>4</v>
      </c>
      <c r="D432" s="25" t="str">
        <f>VLOOKUP(C432,TB_FNX_TIPO_RESOURCE_BUNDLE!$A$7:$B$28,2,FALSE)</f>
        <v>Rótulo de entrada de texto</v>
      </c>
      <c r="E432" s="10" t="s">
        <v>1899</v>
      </c>
      <c r="F432" s="10" t="s">
        <v>1900</v>
      </c>
      <c r="G432" s="17" t="s">
        <v>1900</v>
      </c>
      <c r="H432" s="25" t="str">
        <f t="shared" si="19"/>
        <v>#{msg['LBL_INC_PRJ_CATEGOR.label']}</v>
      </c>
      <c r="I432" s="25" t="str">
        <f t="shared" si="20"/>
        <v>#{msg['LBL_INC_PRJ_CATEGOR.hint']}</v>
      </c>
    </row>
    <row r="433" spans="1:9" x14ac:dyDescent="0.25">
      <c r="A433" s="25">
        <f t="shared" si="18"/>
        <v>427</v>
      </c>
      <c r="C433" s="25">
        <v>4</v>
      </c>
      <c r="D433" s="25" t="str">
        <f>VLOOKUP(C433,TB_FNX_TIPO_RESOURCE_BUNDLE!$A$7:$B$28,2,FALSE)</f>
        <v>Rótulo de entrada de texto</v>
      </c>
      <c r="E433" s="10" t="s">
        <v>1901</v>
      </c>
      <c r="F433" s="10" t="s">
        <v>1902</v>
      </c>
      <c r="G433" s="17" t="s">
        <v>1902</v>
      </c>
      <c r="H433" s="25" t="str">
        <f t="shared" si="19"/>
        <v>#{msg['LBL_INC_PRJ_INS_JUR.label']}</v>
      </c>
      <c r="I433" s="25" t="str">
        <f t="shared" si="20"/>
        <v>#{msg['LBL_INC_PRJ_INS_JUR.hint']}</v>
      </c>
    </row>
    <row r="434" spans="1:9" x14ac:dyDescent="0.25">
      <c r="A434" s="25">
        <f t="shared" si="18"/>
        <v>428</v>
      </c>
      <c r="C434" s="25">
        <v>4</v>
      </c>
      <c r="D434" s="25" t="str">
        <f>VLOOKUP(C434,TB_FNX_TIPO_RESOURCE_BUNDLE!$A$7:$B$28,2,FALSE)</f>
        <v>Rótulo de entrada de texto</v>
      </c>
      <c r="E434" s="10" t="s">
        <v>1903</v>
      </c>
      <c r="F434" s="10" t="s">
        <v>1904</v>
      </c>
      <c r="G434" s="17" t="s">
        <v>1904</v>
      </c>
      <c r="H434" s="25" t="str">
        <f t="shared" si="19"/>
        <v>#{msg['LBL_INC_PRJ_SERVICO.label']}</v>
      </c>
      <c r="I434" s="25" t="str">
        <f t="shared" si="20"/>
        <v>#{msg['LBL_INC_PRJ_SERVICO.hint']}</v>
      </c>
    </row>
    <row r="435" spans="1:9" x14ac:dyDescent="0.25">
      <c r="A435" s="25">
        <f t="shared" si="18"/>
        <v>429</v>
      </c>
      <c r="C435" s="25">
        <v>4</v>
      </c>
      <c r="D435" s="25" t="str">
        <f>VLOOKUP(C435,TB_FNX_TIPO_RESOURCE_BUNDLE!$A$7:$B$28,2,FALSE)</f>
        <v>Rótulo de entrada de texto</v>
      </c>
      <c r="E435" s="10" t="s">
        <v>1905</v>
      </c>
      <c r="F435" s="10" t="s">
        <v>1906</v>
      </c>
      <c r="G435" s="17" t="s">
        <v>1906</v>
      </c>
      <c r="H435" s="25" t="str">
        <f t="shared" si="19"/>
        <v>#{msg['LBL_INC_PRJ_UNIDADE.label']}</v>
      </c>
      <c r="I435" s="25" t="str">
        <f t="shared" si="20"/>
        <v>#{msg['LBL_INC_PRJ_UNIDADE.hint']}</v>
      </c>
    </row>
    <row r="436" spans="1:9" x14ac:dyDescent="0.25">
      <c r="A436" s="25">
        <f t="shared" si="18"/>
        <v>430</v>
      </c>
      <c r="C436" s="25">
        <v>4</v>
      </c>
      <c r="D436" s="25" t="str">
        <f>VLOOKUP(C436,TB_FNX_TIPO_RESOURCE_BUNDLE!$A$7:$B$28,2,FALSE)</f>
        <v>Rótulo de entrada de texto</v>
      </c>
      <c r="E436" s="10" t="s">
        <v>1907</v>
      </c>
      <c r="F436" s="10" t="s">
        <v>1908</v>
      </c>
      <c r="G436" s="17" t="s">
        <v>1908</v>
      </c>
      <c r="H436" s="25" t="str">
        <f t="shared" si="19"/>
        <v>#{msg['LBL_INC_PRJ_ENT_EXE.label']}</v>
      </c>
      <c r="I436" s="25" t="str">
        <f t="shared" si="20"/>
        <v>#{msg['LBL_INC_PRJ_ENT_EXE.hint']}</v>
      </c>
    </row>
    <row r="437" spans="1:9" x14ac:dyDescent="0.25">
      <c r="A437" s="25">
        <f t="shared" si="18"/>
        <v>431</v>
      </c>
      <c r="C437" s="25">
        <v>4</v>
      </c>
      <c r="D437" s="25" t="str">
        <f>VLOOKUP(C437,TB_FNX_TIPO_RESOURCE_BUNDLE!$A$7:$B$28,2,FALSE)</f>
        <v>Rótulo de entrada de texto</v>
      </c>
      <c r="E437" s="10" t="s">
        <v>1909</v>
      </c>
      <c r="F437" s="10" t="s">
        <v>1910</v>
      </c>
      <c r="G437" s="17" t="s">
        <v>1910</v>
      </c>
      <c r="H437" s="25" t="str">
        <f t="shared" si="19"/>
        <v>#{msg['LBL_INC_PRJ_ENT_PAR.label']}</v>
      </c>
      <c r="I437" s="25" t="str">
        <f t="shared" si="20"/>
        <v>#{msg['LBL_INC_PRJ_ENT_PAR.hint']}</v>
      </c>
    </row>
    <row r="438" spans="1:9" x14ac:dyDescent="0.25">
      <c r="A438" s="25">
        <f t="shared" si="18"/>
        <v>432</v>
      </c>
      <c r="C438" s="25">
        <v>4</v>
      </c>
      <c r="D438" s="25" t="str">
        <f>VLOOKUP(C438,TB_FNX_TIPO_RESOURCE_BUNDLE!$A$7:$B$28,2,FALSE)</f>
        <v>Rótulo de entrada de texto</v>
      </c>
      <c r="E438" s="10" t="s">
        <v>1911</v>
      </c>
      <c r="F438" s="10" t="s">
        <v>1912</v>
      </c>
      <c r="G438" s="17" t="s">
        <v>1912</v>
      </c>
      <c r="H438" s="25" t="str">
        <f t="shared" si="19"/>
        <v>#{msg['LBL_INC_PRJ_FANTASIA.label']}</v>
      </c>
      <c r="I438" s="25" t="str">
        <f t="shared" si="20"/>
        <v>#{msg['LBL_INC_PRJ_FANTASIA.hint']}</v>
      </c>
    </row>
    <row r="439" spans="1:9" x14ac:dyDescent="0.25">
      <c r="A439" s="25">
        <f t="shared" si="18"/>
        <v>433</v>
      </c>
      <c r="C439" s="25">
        <v>4</v>
      </c>
      <c r="D439" s="25" t="str">
        <f>VLOOKUP(C439,TB_FNX_TIPO_RESOURCE_BUNDLE!$A$7:$B$28,2,FALSE)</f>
        <v>Rótulo de entrada de texto</v>
      </c>
      <c r="E439" s="10" t="s">
        <v>1913</v>
      </c>
      <c r="F439" s="10" t="s">
        <v>287</v>
      </c>
      <c r="G439" s="17" t="s">
        <v>287</v>
      </c>
      <c r="H439" s="25" t="str">
        <f t="shared" si="19"/>
        <v>#{msg['LBL_INC_PRJ_NOME.label']}</v>
      </c>
      <c r="I439" s="25" t="str">
        <f t="shared" si="20"/>
        <v>#{msg['LBL_INC_PRJ_NOME.hint']}</v>
      </c>
    </row>
    <row r="440" spans="1:9" x14ac:dyDescent="0.25">
      <c r="A440" s="25">
        <f t="shared" si="18"/>
        <v>434</v>
      </c>
      <c r="C440" s="25">
        <v>4</v>
      </c>
      <c r="D440" s="25" t="str">
        <f>VLOOKUP(C440,TB_FNX_TIPO_RESOURCE_BUNDLE!$A$7:$B$28,2,FALSE)</f>
        <v>Rótulo de entrada de texto</v>
      </c>
      <c r="E440" s="10" t="s">
        <v>1914</v>
      </c>
      <c r="F440" s="10" t="s">
        <v>1502</v>
      </c>
      <c r="G440" s="17" t="s">
        <v>1554</v>
      </c>
      <c r="H440" s="25" t="str">
        <f t="shared" si="19"/>
        <v>#{msg['LBL_INC_PRJ_DTINICIO.label']}</v>
      </c>
      <c r="I440" s="25" t="str">
        <f t="shared" si="20"/>
        <v>#{msg['LBL_INC_PRJ_DTINICIO.hint']}</v>
      </c>
    </row>
    <row r="441" spans="1:9" x14ac:dyDescent="0.25">
      <c r="A441" s="25">
        <f t="shared" si="18"/>
        <v>435</v>
      </c>
      <c r="C441" s="25">
        <v>4</v>
      </c>
      <c r="D441" s="25" t="str">
        <f>VLOOKUP(C441,TB_FNX_TIPO_RESOURCE_BUNDLE!$A$7:$B$28,2,FALSE)</f>
        <v>Rótulo de entrada de texto</v>
      </c>
      <c r="E441" s="10" t="s">
        <v>1915</v>
      </c>
      <c r="F441" s="10" t="s">
        <v>1503</v>
      </c>
      <c r="G441" s="17" t="s">
        <v>1916</v>
      </c>
      <c r="H441" s="25" t="str">
        <f t="shared" si="19"/>
        <v>#{msg['LBL_INC_PRJ_DTTERMIN.label']}</v>
      </c>
      <c r="I441" s="25" t="str">
        <f t="shared" si="20"/>
        <v>#{msg['LBL_INC_PRJ_DTTERMIN.hint']}</v>
      </c>
    </row>
    <row r="442" spans="1:9" x14ac:dyDescent="0.25">
      <c r="A442" s="25">
        <f t="shared" si="18"/>
        <v>436</v>
      </c>
      <c r="C442" s="25">
        <v>4</v>
      </c>
      <c r="D442" s="25" t="str">
        <f>VLOOKUP(C442,TB_FNX_TIPO_RESOURCE_BUNDLE!$A$7:$B$28,2,FALSE)</f>
        <v>Rótulo de entrada de texto</v>
      </c>
      <c r="E442" s="10" t="s">
        <v>1917</v>
      </c>
      <c r="F442" s="10" t="s">
        <v>1918</v>
      </c>
      <c r="G442" s="17" t="s">
        <v>1918</v>
      </c>
      <c r="H442" s="25" t="str">
        <f t="shared" si="19"/>
        <v>#{msg['LBL_INC_PRJ_GESTOR.label']}</v>
      </c>
      <c r="I442" s="25" t="str">
        <f t="shared" si="20"/>
        <v>#{msg['LBL_INC_PRJ_GESTOR.hint']}</v>
      </c>
    </row>
    <row r="443" spans="1:9" x14ac:dyDescent="0.25">
      <c r="A443" s="25">
        <f t="shared" si="18"/>
        <v>437</v>
      </c>
      <c r="C443" s="25">
        <v>4</v>
      </c>
      <c r="D443" s="25" t="str">
        <f>VLOOKUP(C443,TB_FNX_TIPO_RESOURCE_BUNDLE!$A$7:$B$28,2,FALSE)</f>
        <v>Rótulo de entrada de texto</v>
      </c>
      <c r="E443" s="10" t="s">
        <v>1919</v>
      </c>
      <c r="F443" s="10" t="s">
        <v>1920</v>
      </c>
      <c r="G443" s="17" t="s">
        <v>1920</v>
      </c>
      <c r="H443" s="25" t="str">
        <f t="shared" si="19"/>
        <v>#{msg['LBL_INC_PRJ_LIDER.label']}</v>
      </c>
      <c r="I443" s="25" t="str">
        <f t="shared" si="20"/>
        <v>#{msg['LBL_INC_PRJ_LIDER.hint']}</v>
      </c>
    </row>
    <row r="444" spans="1:9" x14ac:dyDescent="0.25">
      <c r="A444" s="25">
        <f t="shared" si="18"/>
        <v>438</v>
      </c>
      <c r="C444" s="25">
        <v>4</v>
      </c>
      <c r="D444" s="25" t="str">
        <f>VLOOKUP(C444,TB_FNX_TIPO_RESOURCE_BUNDLE!$A$7:$B$28,2,FALSE)</f>
        <v>Rótulo de entrada de texto</v>
      </c>
      <c r="E444" s="10" t="s">
        <v>1921</v>
      </c>
      <c r="F444" s="10" t="s">
        <v>1922</v>
      </c>
      <c r="G444" s="17" t="s">
        <v>1922</v>
      </c>
      <c r="H444" s="25" t="str">
        <f t="shared" si="19"/>
        <v>#{msg['LBL_INC_PRJ_GERENTE.label']}</v>
      </c>
      <c r="I444" s="25" t="str">
        <f t="shared" si="20"/>
        <v>#{msg['LBL_INC_PRJ_GERENTE.hint']}</v>
      </c>
    </row>
    <row r="445" spans="1:9" x14ac:dyDescent="0.25">
      <c r="A445" s="25">
        <f t="shared" si="18"/>
        <v>439</v>
      </c>
      <c r="C445" s="25">
        <v>4</v>
      </c>
      <c r="D445" s="25" t="str">
        <f>VLOOKUP(C445,TB_FNX_TIPO_RESOURCE_BUNDLE!$A$7:$B$28,2,FALSE)</f>
        <v>Rótulo de entrada de texto</v>
      </c>
      <c r="E445" s="10" t="s">
        <v>1923</v>
      </c>
      <c r="F445" s="10" t="s">
        <v>1924</v>
      </c>
      <c r="G445" s="17" t="s">
        <v>1924</v>
      </c>
      <c r="H445" s="25" t="str">
        <f t="shared" si="19"/>
        <v>#{msg['LBL_INC_PRJ_SUBSTIT.label']}</v>
      </c>
      <c r="I445" s="25" t="str">
        <f t="shared" si="20"/>
        <v>#{msg['LBL_INC_PRJ_SUBSTIT.hint']}</v>
      </c>
    </row>
    <row r="446" spans="1:9" x14ac:dyDescent="0.25">
      <c r="A446" s="25">
        <f t="shared" si="18"/>
        <v>440</v>
      </c>
      <c r="C446" s="25">
        <v>4</v>
      </c>
      <c r="D446" s="25" t="str">
        <f>VLOOKUP(C446,TB_FNX_TIPO_RESOURCE_BUNDLE!$A$7:$B$28,2,FALSE)</f>
        <v>Rótulo de entrada de texto</v>
      </c>
      <c r="E446" s="10" t="s">
        <v>1925</v>
      </c>
      <c r="F446" s="10" t="s">
        <v>1926</v>
      </c>
      <c r="G446"/>
      <c r="H446" s="25" t="str">
        <f t="shared" si="19"/>
        <v>#{msg['LBL_AN_PRJ_CONF_APROV.label']}</v>
      </c>
      <c r="I446" s="25" t="str">
        <f t="shared" si="20"/>
        <v>#{msg['LBL_AN_PRJ_CONF_APROV.hint']}</v>
      </c>
    </row>
    <row r="447" spans="1:9" x14ac:dyDescent="0.25">
      <c r="A447" s="25">
        <f t="shared" si="18"/>
        <v>441</v>
      </c>
      <c r="C447" s="25">
        <v>1</v>
      </c>
      <c r="D447" s="25" t="str">
        <f>VLOOKUP(C447,TB_FNX_TIPO_RESOURCE_BUNDLE!$A$7:$B$28,2,FALSE)</f>
        <v>Botão</v>
      </c>
      <c r="E447" s="10" t="s">
        <v>1927</v>
      </c>
      <c r="F447" s="10" t="s">
        <v>1926</v>
      </c>
      <c r="G447" s="10" t="s">
        <v>1928</v>
      </c>
      <c r="H447" s="25" t="str">
        <f t="shared" si="19"/>
        <v>#{msg['CMD_AN_PRJ_CONF_APROV.label']}</v>
      </c>
      <c r="I447" s="25" t="str">
        <f t="shared" si="20"/>
        <v>#{msg['CMD_AN_PRJ_CONF_APROV.hint']}</v>
      </c>
    </row>
    <row r="448" spans="1:9" x14ac:dyDescent="0.25">
      <c r="A448" s="25">
        <f t="shared" si="18"/>
        <v>442</v>
      </c>
      <c r="C448" s="25">
        <v>4</v>
      </c>
      <c r="D448" s="25" t="str">
        <f>VLOOKUP(C448,TB_FNX_TIPO_RESOURCE_BUNDLE!$A$7:$B$28,2,FALSE)</f>
        <v>Rótulo de entrada de texto</v>
      </c>
      <c r="E448" s="10" t="s">
        <v>1929</v>
      </c>
      <c r="F448" s="10" t="s">
        <v>1930</v>
      </c>
      <c r="G448" s="17" t="s">
        <v>1931</v>
      </c>
      <c r="H448" s="25" t="str">
        <f t="shared" si="19"/>
        <v>#{msg['LBL_AN_PRJ_PARECER.label']}</v>
      </c>
      <c r="I448" s="25" t="str">
        <f t="shared" si="20"/>
        <v>#{msg['LBL_AN_PRJ_PARECER.hint']}</v>
      </c>
    </row>
    <row r="449" spans="1:9" x14ac:dyDescent="0.25">
      <c r="A449" s="25">
        <f t="shared" si="18"/>
        <v>443</v>
      </c>
      <c r="C449" s="25">
        <v>4</v>
      </c>
      <c r="D449" s="25" t="str">
        <f>VLOOKUP(C449,TB_FNX_TIPO_RESOURCE_BUNDLE!$A$7:$B$28,2,FALSE)</f>
        <v>Rótulo de entrada de texto</v>
      </c>
      <c r="E449" s="10" t="s">
        <v>1932</v>
      </c>
      <c r="F449" s="10" t="s">
        <v>1933</v>
      </c>
      <c r="G449" s="10" t="s">
        <v>1933</v>
      </c>
      <c r="H449" s="25" t="str">
        <f t="shared" si="19"/>
        <v>#{msg['LBL_AN_PRJ_DADOS_CONV.label']}</v>
      </c>
      <c r="I449" s="25" t="str">
        <f t="shared" si="20"/>
        <v>#{msg['LBL_AN_PRJ_DADOS_CONV.hint']}</v>
      </c>
    </row>
    <row r="450" spans="1:9" x14ac:dyDescent="0.25">
      <c r="A450" s="25">
        <f t="shared" si="18"/>
        <v>444</v>
      </c>
      <c r="C450" s="25">
        <v>4</v>
      </c>
      <c r="D450" s="25" t="str">
        <f>VLOOKUP(C450,TB_FNX_TIPO_RESOURCE_BUNDLE!$A$7:$B$28,2,FALSE)</f>
        <v>Rótulo de entrada de texto</v>
      </c>
      <c r="E450" s="10" t="s">
        <v>1934</v>
      </c>
      <c r="F450" s="10" t="s">
        <v>1935</v>
      </c>
      <c r="G450" s="10" t="s">
        <v>1936</v>
      </c>
      <c r="H450" s="25" t="str">
        <f t="shared" si="19"/>
        <v>#{msg['LBL_AN_PRJ_DTINICIO_PRJ.label']}</v>
      </c>
      <c r="I450" s="25" t="str">
        <f t="shared" si="20"/>
        <v>#{msg['LBL_AN_PRJ_DTINICIO_PRJ.hint']}</v>
      </c>
    </row>
    <row r="451" spans="1:9" x14ac:dyDescent="0.25">
      <c r="A451" s="25">
        <f t="shared" si="18"/>
        <v>445</v>
      </c>
      <c r="C451" s="25">
        <v>4</v>
      </c>
      <c r="D451" s="25" t="str">
        <f>VLOOKUP(C451,TB_FNX_TIPO_RESOURCE_BUNDLE!$A$7:$B$28,2,FALSE)</f>
        <v>Rótulo de entrada de texto</v>
      </c>
      <c r="E451" s="10" t="s">
        <v>1937</v>
      </c>
      <c r="F451" s="10" t="s">
        <v>1938</v>
      </c>
      <c r="G451" s="10" t="s">
        <v>1939</v>
      </c>
      <c r="H451" s="25" t="str">
        <f t="shared" si="19"/>
        <v>#{msg['LBL_AN_PRJ_DTFIM_PRJ.label']}</v>
      </c>
      <c r="I451" s="25" t="str">
        <f t="shared" si="20"/>
        <v>#{msg['LBL_AN_PRJ_DTFIM_PRJ.hint']}</v>
      </c>
    </row>
    <row r="452" spans="1:9" x14ac:dyDescent="0.25">
      <c r="A452" s="25">
        <f t="shared" si="18"/>
        <v>446</v>
      </c>
      <c r="C452" s="25">
        <v>4</v>
      </c>
      <c r="D452" s="25" t="str">
        <f>VLOOKUP(C452,TB_FNX_TIPO_RESOURCE_BUNDLE!$A$7:$B$28,2,FALSE)</f>
        <v>Rótulo de entrada de texto</v>
      </c>
      <c r="E452" s="10" t="s">
        <v>1940</v>
      </c>
      <c r="F452" s="10" t="s">
        <v>1941</v>
      </c>
      <c r="G452" s="10" t="s">
        <v>1941</v>
      </c>
      <c r="H452" s="25" t="str">
        <f t="shared" si="19"/>
        <v>#{msg['LBL_AN_PRJ_NUM_CONV.label']}</v>
      </c>
      <c r="I452" s="25" t="str">
        <f t="shared" si="20"/>
        <v>#{msg['LBL_AN_PRJ_NUM_CONV.hint']}</v>
      </c>
    </row>
    <row r="453" spans="1:9" x14ac:dyDescent="0.25">
      <c r="A453" s="25">
        <f t="shared" si="18"/>
        <v>447</v>
      </c>
      <c r="C453" s="25">
        <v>4</v>
      </c>
      <c r="D453" s="25" t="str">
        <f>VLOOKUP(C453,TB_FNX_TIPO_RESOURCE_BUNDLE!$A$7:$B$28,2,FALSE)</f>
        <v>Rótulo de entrada de texto</v>
      </c>
      <c r="E453" s="10" t="s">
        <v>1942</v>
      </c>
      <c r="F453" s="10" t="s">
        <v>1943</v>
      </c>
      <c r="G453" s="10" t="s">
        <v>1943</v>
      </c>
      <c r="H453" s="25" t="str">
        <f t="shared" si="19"/>
        <v>#{msg['LBL_AN_PRJ_NUM_DOSSIE.label']}</v>
      </c>
      <c r="I453" s="25" t="str">
        <f t="shared" si="20"/>
        <v>#{msg['LBL_AN_PRJ_NUM_DOSSIE.hint']}</v>
      </c>
    </row>
    <row r="454" spans="1:9" x14ac:dyDescent="0.25">
      <c r="A454" s="25">
        <f t="shared" si="18"/>
        <v>448</v>
      </c>
      <c r="C454" s="25">
        <v>4</v>
      </c>
      <c r="D454" s="25" t="str">
        <f>VLOOKUP(C454,TB_FNX_TIPO_RESOURCE_BUNDLE!$A$7:$B$28,2,FALSE)</f>
        <v>Rótulo de entrada de texto</v>
      </c>
      <c r="E454" s="10" t="s">
        <v>1944</v>
      </c>
      <c r="F454" s="10" t="s">
        <v>1945</v>
      </c>
      <c r="G454" s="10" t="s">
        <v>1945</v>
      </c>
      <c r="H454" s="25" t="str">
        <f t="shared" si="19"/>
        <v>#{msg['LBL_AN_PRJ_DADOS_BANC.label']}</v>
      </c>
      <c r="I454" s="25" t="str">
        <f t="shared" si="20"/>
        <v>#{msg['LBL_AN_PRJ_DADOS_BANC.hint']}</v>
      </c>
    </row>
    <row r="455" spans="1:9" x14ac:dyDescent="0.25">
      <c r="A455" s="25">
        <f t="shared" si="18"/>
        <v>449</v>
      </c>
      <c r="C455" s="25">
        <v>4</v>
      </c>
      <c r="D455" s="25" t="str">
        <f>VLOOKUP(C455,TB_FNX_TIPO_RESOURCE_BUNDLE!$A$7:$B$28,2,FALSE)</f>
        <v>Rótulo de entrada de texto</v>
      </c>
      <c r="E455" s="10" t="s">
        <v>1946</v>
      </c>
      <c r="F455" s="10" t="s">
        <v>1947</v>
      </c>
      <c r="G455" s="10" t="s">
        <v>1948</v>
      </c>
      <c r="H455" s="25" t="str">
        <f t="shared" si="19"/>
        <v>#{msg['LBL_AN_PRJ_COD_BANCO.label']}</v>
      </c>
      <c r="I455" s="25" t="str">
        <f t="shared" si="20"/>
        <v>#{msg['LBL_AN_PRJ_COD_BANCO.hint']}</v>
      </c>
    </row>
    <row r="456" spans="1:9" x14ac:dyDescent="0.25">
      <c r="A456" s="25">
        <f t="shared" ref="A456:A519" si="21">A455+1</f>
        <v>450</v>
      </c>
      <c r="C456" s="25">
        <v>4</v>
      </c>
      <c r="D456" s="25" t="str">
        <f>VLOOKUP(C456,TB_FNX_TIPO_RESOURCE_BUNDLE!$A$7:$B$28,2,FALSE)</f>
        <v>Rótulo de entrada de texto</v>
      </c>
      <c r="E456" s="10" t="s">
        <v>1949</v>
      </c>
      <c r="F456" s="10" t="s">
        <v>1950</v>
      </c>
      <c r="G456" s="10" t="s">
        <v>1951</v>
      </c>
      <c r="H456" s="25" t="str">
        <f t="shared" ref="H456:H519" si="22">CONCATENATE("#{msg['",$E456,".label']}")</f>
        <v>#{msg['LBL_AN_PRJ_AGENCIA.label']}</v>
      </c>
      <c r="I456" s="25" t="str">
        <f t="shared" ref="I456:I519" si="23">CONCATENATE("#{msg['",$E456,".hint']}")</f>
        <v>#{msg['LBL_AN_PRJ_AGENCIA.hint']}</v>
      </c>
    </row>
    <row r="457" spans="1:9" x14ac:dyDescent="0.25">
      <c r="A457" s="25">
        <f t="shared" si="21"/>
        <v>451</v>
      </c>
      <c r="C457" s="25">
        <v>4</v>
      </c>
      <c r="D457" s="25" t="str">
        <f>VLOOKUP(C457,TB_FNX_TIPO_RESOURCE_BUNDLE!$A$7:$B$28,2,FALSE)</f>
        <v>Rótulo de entrada de texto</v>
      </c>
      <c r="E457" s="10" t="s">
        <v>1952</v>
      </c>
      <c r="F457" s="10" t="s">
        <v>1953</v>
      </c>
      <c r="G457" s="10" t="s">
        <v>1954</v>
      </c>
      <c r="H457" s="25" t="str">
        <f t="shared" si="22"/>
        <v>#{msg['LBL_AN_PRJ_CONTA_COR.label']}</v>
      </c>
      <c r="I457" s="25" t="str">
        <f t="shared" si="23"/>
        <v>#{msg['LBL_AN_PRJ_CONTA_COR.hint']}</v>
      </c>
    </row>
    <row r="458" spans="1:9" x14ac:dyDescent="0.25">
      <c r="A458" s="25">
        <f t="shared" si="21"/>
        <v>452</v>
      </c>
      <c r="C458" s="25">
        <v>4</v>
      </c>
      <c r="D458" s="25" t="str">
        <f>VLOOKUP(C458,TB_FNX_TIPO_RESOURCE_BUNDLE!$A$7:$B$28,2,FALSE)</f>
        <v>Rótulo de entrada de texto</v>
      </c>
      <c r="E458" s="10" t="s">
        <v>1955</v>
      </c>
      <c r="F458" s="10" t="s">
        <v>1956</v>
      </c>
      <c r="G458" s="17"/>
      <c r="H458" s="25" t="str">
        <f t="shared" si="22"/>
        <v>#{msg['LBL_ANALISAR_PROJETO.label']}</v>
      </c>
      <c r="I458" s="25" t="str">
        <f t="shared" si="23"/>
        <v>#{msg['LBL_ANALISAR_PROJETO.hint']}</v>
      </c>
    </row>
    <row r="459" spans="1:9" x14ac:dyDescent="0.25">
      <c r="A459" s="25">
        <f t="shared" si="21"/>
        <v>453</v>
      </c>
      <c r="C459" s="25">
        <v>4</v>
      </c>
      <c r="D459" s="25" t="str">
        <f>VLOOKUP(C459,TB_FNX_TIPO_RESOURCE_BUNDLE!$A$7:$B$28,2,FALSE)</f>
        <v>Rótulo de entrada de texto</v>
      </c>
      <c r="E459" s="10" t="s">
        <v>1957</v>
      </c>
      <c r="F459" s="10" t="s">
        <v>1958</v>
      </c>
      <c r="G459" s="17"/>
      <c r="H459" s="25" t="str">
        <f t="shared" si="22"/>
        <v>#{msg['LBL_INCLUIR_PROJETO.label']}</v>
      </c>
      <c r="I459" s="25" t="str">
        <f t="shared" si="23"/>
        <v>#{msg['LBL_INCLUIR_PROJETO.hint']}</v>
      </c>
    </row>
    <row r="460" spans="1:9" x14ac:dyDescent="0.25">
      <c r="A460" s="25">
        <f t="shared" si="21"/>
        <v>454</v>
      </c>
      <c r="C460" s="25">
        <v>4</v>
      </c>
      <c r="D460" s="25" t="str">
        <f>VLOOKUP(C460,TB_FNX_TIPO_RESOURCE_BUNDLE!$A$7:$B$28,2,FALSE)</f>
        <v>Rótulo de entrada de texto</v>
      </c>
      <c r="E460" s="2" t="s">
        <v>1972</v>
      </c>
      <c r="F460" s="2" t="s">
        <v>194</v>
      </c>
      <c r="G460" s="4" t="s">
        <v>1980</v>
      </c>
      <c r="H460" s="25" t="str">
        <f t="shared" si="22"/>
        <v>#{msg['LBL_GORC_INCLUIR.label']}</v>
      </c>
      <c r="I460" s="25" t="str">
        <f t="shared" si="23"/>
        <v>#{msg['LBL_GORC_INCLUIR.hint']}</v>
      </c>
    </row>
    <row r="461" spans="1:9" x14ac:dyDescent="0.25">
      <c r="A461" s="25">
        <f t="shared" si="21"/>
        <v>455</v>
      </c>
      <c r="C461" s="25">
        <v>4</v>
      </c>
      <c r="D461" s="25" t="str">
        <f>VLOOKUP(C461,TB_FNX_TIPO_RESOURCE_BUNDLE!$A$7:$B$28,2,FALSE)</f>
        <v>Rótulo de entrada de texto</v>
      </c>
      <c r="E461" s="2" t="s">
        <v>1973</v>
      </c>
      <c r="F461" s="2" t="s">
        <v>337</v>
      </c>
      <c r="G461" s="4" t="s">
        <v>1982</v>
      </c>
      <c r="H461" s="25" t="str">
        <f t="shared" si="22"/>
        <v>#{msg['LBL_GORC_EDITAR.label']}</v>
      </c>
      <c r="I461" s="25" t="str">
        <f t="shared" si="23"/>
        <v>#{msg['LBL_GORC_EDITAR.hint']}</v>
      </c>
    </row>
    <row r="462" spans="1:9" x14ac:dyDescent="0.25">
      <c r="A462" s="25">
        <f t="shared" si="21"/>
        <v>456</v>
      </c>
      <c r="C462" s="25">
        <v>4</v>
      </c>
      <c r="D462" s="25" t="str">
        <f>VLOOKUP(C462,TB_FNX_TIPO_RESOURCE_BUNDLE!$A$7:$B$28,2,FALSE)</f>
        <v>Rótulo de entrada de texto</v>
      </c>
      <c r="E462" s="2" t="s">
        <v>1974</v>
      </c>
      <c r="F462" s="2" t="s">
        <v>143</v>
      </c>
      <c r="G462" s="4" t="s">
        <v>1981</v>
      </c>
      <c r="H462" s="25" t="str">
        <f t="shared" si="22"/>
        <v>#{msg['LBL_GORC_EXCLUIR.label']}</v>
      </c>
      <c r="I462" s="25" t="str">
        <f t="shared" si="23"/>
        <v>#{msg['LBL_GORC_EXCLUIR.hint']}</v>
      </c>
    </row>
    <row r="463" spans="1:9" x14ac:dyDescent="0.25">
      <c r="A463" s="25">
        <f t="shared" si="21"/>
        <v>457</v>
      </c>
      <c r="C463" s="25">
        <v>4</v>
      </c>
      <c r="D463" s="25" t="str">
        <f>VLOOKUP(C463,TB_FNX_TIPO_RESOURCE_BUNDLE!$A$7:$B$28,2,FALSE)</f>
        <v>Rótulo de entrada de texto</v>
      </c>
      <c r="E463" s="2" t="s">
        <v>1975</v>
      </c>
      <c r="F463" s="2" t="s">
        <v>1979</v>
      </c>
      <c r="G463" s="25" t="s">
        <v>1979</v>
      </c>
      <c r="H463" s="25" t="str">
        <f t="shared" si="22"/>
        <v>#{msg['LBL_GORC_SOLICITAR.label']}</v>
      </c>
      <c r="I463" s="25" t="str">
        <f t="shared" si="23"/>
        <v>#{msg['LBL_GORC_SOLICITAR.hint']}</v>
      </c>
    </row>
    <row r="464" spans="1:9" x14ac:dyDescent="0.25">
      <c r="A464" s="25">
        <f t="shared" si="21"/>
        <v>458</v>
      </c>
      <c r="C464" s="25">
        <v>4</v>
      </c>
      <c r="D464" s="25" t="str">
        <f>VLOOKUP(C464,TB_FNX_TIPO_RESOURCE_BUNDLE!$A$7:$B$28,2,FALSE)</f>
        <v>Rótulo de entrada de texto</v>
      </c>
      <c r="E464" s="2" t="s">
        <v>1976</v>
      </c>
      <c r="F464" s="2" t="s">
        <v>714</v>
      </c>
      <c r="G464" s="4" t="s">
        <v>357</v>
      </c>
      <c r="H464" s="25" t="str">
        <f t="shared" si="22"/>
        <v>#{msg['LBL_GORC_XLS.label']}</v>
      </c>
      <c r="I464" s="25" t="str">
        <f t="shared" si="23"/>
        <v>#{msg['LBL_GORC_XLS.hint']}</v>
      </c>
    </row>
    <row r="465" spans="1:9" x14ac:dyDescent="0.25">
      <c r="A465" s="25">
        <f t="shared" si="21"/>
        <v>459</v>
      </c>
      <c r="C465" s="25">
        <v>4</v>
      </c>
      <c r="D465" s="25" t="str">
        <f>VLOOKUP(C465,TB_FNX_TIPO_RESOURCE_BUNDLE!$A$7:$B$28,2,FALSE)</f>
        <v>Rótulo de entrada de texto</v>
      </c>
      <c r="E465" s="2" t="s">
        <v>1977</v>
      </c>
      <c r="F465" s="2" t="s">
        <v>1978</v>
      </c>
      <c r="G465" s="4" t="s">
        <v>1983</v>
      </c>
      <c r="H465" s="25" t="str">
        <f t="shared" si="22"/>
        <v>#{msg['LBL_GORC_ONDE.label']}</v>
      </c>
      <c r="I465" s="25" t="str">
        <f t="shared" si="23"/>
        <v>#{msg['LBL_GORC_ONDE.hint']}</v>
      </c>
    </row>
    <row r="466" spans="1:9" x14ac:dyDescent="0.25">
      <c r="A466" s="25">
        <f t="shared" si="21"/>
        <v>460</v>
      </c>
      <c r="C466" s="25">
        <v>4</v>
      </c>
      <c r="D466" s="25" t="str">
        <f>VLOOKUP(C466,TB_FNX_TIPO_RESOURCE_BUNDLE!$A$7:$B$28,2,FALSE)</f>
        <v>Rótulo de entrada de texto</v>
      </c>
      <c r="E466" s="2" t="s">
        <v>2000</v>
      </c>
      <c r="F466" s="2" t="s">
        <v>973</v>
      </c>
      <c r="G466" s="4" t="s">
        <v>2001</v>
      </c>
      <c r="H466" s="25" t="str">
        <f t="shared" si="22"/>
        <v>#{msg['LBL_GORC_ANO.label']}</v>
      </c>
      <c r="I466" s="25" t="str">
        <f t="shared" si="23"/>
        <v>#{msg['LBL_GORC_ANO.hint']}</v>
      </c>
    </row>
    <row r="467" spans="1:9" x14ac:dyDescent="0.25">
      <c r="A467" s="25">
        <f t="shared" si="21"/>
        <v>461</v>
      </c>
      <c r="C467" s="25">
        <v>4</v>
      </c>
      <c r="D467" s="25" t="str">
        <f>VLOOKUP(C467,TB_FNX_TIPO_RESOURCE_BUNDLE!$A$7:$B$28,2,FALSE)</f>
        <v>Rótulo de entrada de texto</v>
      </c>
      <c r="E467" s="2" t="s">
        <v>2007</v>
      </c>
      <c r="F467" s="2" t="s">
        <v>2002</v>
      </c>
      <c r="G467" s="25" t="s">
        <v>2002</v>
      </c>
      <c r="H467" s="25" t="str">
        <f t="shared" si="22"/>
        <v>#{msg['LBL_GORC_VLR_APEX.label']}</v>
      </c>
      <c r="I467" s="25" t="str">
        <f t="shared" si="23"/>
        <v>#{msg['LBL_GORC_VLR_APEX.hint']}</v>
      </c>
    </row>
    <row r="468" spans="1:9" x14ac:dyDescent="0.25">
      <c r="A468" s="25">
        <f t="shared" si="21"/>
        <v>462</v>
      </c>
      <c r="C468" s="25">
        <v>4</v>
      </c>
      <c r="D468" s="25" t="str">
        <f>VLOOKUP(C468,TB_FNX_TIPO_RESOURCE_BUNDLE!$A$7:$B$28,2,FALSE)</f>
        <v>Rótulo de entrada de texto</v>
      </c>
      <c r="E468" s="25" t="s">
        <v>2009</v>
      </c>
      <c r="F468" s="2" t="s">
        <v>2003</v>
      </c>
      <c r="G468" s="25" t="s">
        <v>2003</v>
      </c>
      <c r="H468" s="25" t="str">
        <f t="shared" si="22"/>
        <v>#{msg['LBL_GORC_VLR_TETO_APEX.label']}</v>
      </c>
      <c r="I468" s="25" t="str">
        <f t="shared" si="23"/>
        <v>#{msg['LBL_GORC_VLR_TETO_APEX.hint']}</v>
      </c>
    </row>
    <row r="469" spans="1:9" x14ac:dyDescent="0.25">
      <c r="A469" s="25">
        <f t="shared" si="21"/>
        <v>463</v>
      </c>
      <c r="C469" s="25">
        <v>4</v>
      </c>
      <c r="D469" s="25" t="str">
        <f>VLOOKUP(C469,TB_FNX_TIPO_RESOURCE_BUNDLE!$A$7:$B$28,2,FALSE)</f>
        <v>Rótulo de entrada de texto</v>
      </c>
      <c r="E469" s="25" t="s">
        <v>2010</v>
      </c>
      <c r="F469" s="2" t="s">
        <v>2004</v>
      </c>
      <c r="G469" s="25" t="s">
        <v>2004</v>
      </c>
      <c r="H469" s="25" t="str">
        <f t="shared" si="22"/>
        <v>#{msg['LBL_GORC_VLR_REAL_EXTERNO.label']}</v>
      </c>
      <c r="I469" s="25" t="str">
        <f t="shared" si="23"/>
        <v>#{msg['LBL_GORC_VLR_REAL_EXTERNO.hint']}</v>
      </c>
    </row>
    <row r="470" spans="1:9" x14ac:dyDescent="0.25">
      <c r="A470" s="25">
        <f t="shared" si="21"/>
        <v>464</v>
      </c>
      <c r="C470" s="25">
        <v>4</v>
      </c>
      <c r="D470" s="25" t="str">
        <f>VLOOKUP(C470,TB_FNX_TIPO_RESOURCE_BUNDLE!$A$7:$B$28,2,FALSE)</f>
        <v>Rótulo de entrada de texto</v>
      </c>
      <c r="E470" s="33" t="s">
        <v>2011</v>
      </c>
      <c r="F470" s="2" t="s">
        <v>2005</v>
      </c>
      <c r="G470" s="25" t="s">
        <v>2005</v>
      </c>
      <c r="H470" s="25" t="str">
        <f t="shared" si="22"/>
        <v>#{msg['LBL_GORC_VLR_TETO_EXTERNO.label']}</v>
      </c>
      <c r="I470" s="25" t="str">
        <f t="shared" si="23"/>
        <v>#{msg['LBL_GORC_VLR_TETO_EXTERNO.hint']}</v>
      </c>
    </row>
    <row r="471" spans="1:9" x14ac:dyDescent="0.25">
      <c r="A471" s="25">
        <f t="shared" si="21"/>
        <v>465</v>
      </c>
      <c r="C471" s="25">
        <v>4</v>
      </c>
      <c r="D471" s="25" t="str">
        <f>VLOOKUP(C471,TB_FNX_TIPO_RESOURCE_BUNDLE!$A$7:$B$28,2,FALSE)</f>
        <v>Rótulo de entrada de texto</v>
      </c>
      <c r="E471" s="25" t="s">
        <v>2012</v>
      </c>
      <c r="F471" s="2" t="s">
        <v>2006</v>
      </c>
      <c r="G471" s="25" t="s">
        <v>2006</v>
      </c>
      <c r="H471" s="25" t="str">
        <f t="shared" si="22"/>
        <v>#{msg['LBL_GORC_COMENTARIO.label']}</v>
      </c>
      <c r="I471" s="25" t="str">
        <f t="shared" si="23"/>
        <v>#{msg['LBL_GORC_COMENTARIO.hint']}</v>
      </c>
    </row>
    <row r="472" spans="1:9" x14ac:dyDescent="0.25">
      <c r="A472" s="25">
        <f t="shared" si="21"/>
        <v>466</v>
      </c>
      <c r="C472" s="25">
        <v>4</v>
      </c>
      <c r="D472" s="25" t="str">
        <f>VLOOKUP(C472,TB_FNX_TIPO_RESOURCE_BUNDLE!$A$7:$B$28,2,FALSE)</f>
        <v>Rótulo de entrada de texto</v>
      </c>
      <c r="E472" s="2" t="s">
        <v>2013</v>
      </c>
      <c r="F472" s="2" t="s">
        <v>1985</v>
      </c>
      <c r="H472" s="25" t="str">
        <f t="shared" si="22"/>
        <v>#{msg['LBL_GESTAO_ORCAMENTARIA.label']}</v>
      </c>
      <c r="I472" s="25" t="str">
        <f t="shared" si="23"/>
        <v>#{msg['LBL_GESTAO_ORCAMENTARIA.hint']}</v>
      </c>
    </row>
    <row r="473" spans="1:9" x14ac:dyDescent="0.25">
      <c r="A473" s="25">
        <f t="shared" si="21"/>
        <v>467</v>
      </c>
      <c r="C473" s="25">
        <v>4</v>
      </c>
      <c r="D473" s="25" t="str">
        <f>VLOOKUP(C473,TB_FNX_TIPO_RESOURCE_BUNDLE!$A$7:$B$28,2,FALSE)</f>
        <v>Rótulo de entrada de texto</v>
      </c>
      <c r="E473" s="2" t="s">
        <v>2008</v>
      </c>
      <c r="F473" s="2" t="s">
        <v>2014</v>
      </c>
      <c r="G473" s="25" t="s">
        <v>2014</v>
      </c>
      <c r="H473" s="25" t="str">
        <f t="shared" si="22"/>
        <v>#{msg['LBL_GORC_TETO_APEX.label']}</v>
      </c>
      <c r="I473" s="25" t="str">
        <f t="shared" si="23"/>
        <v>#{msg['LBL_GORC_TETO_APEX.hint']}</v>
      </c>
    </row>
    <row r="474" spans="1:9" x14ac:dyDescent="0.25">
      <c r="A474" s="25">
        <f t="shared" si="21"/>
        <v>468</v>
      </c>
      <c r="C474" s="25">
        <v>4</v>
      </c>
      <c r="D474" s="25" t="str">
        <f>VLOOKUP(C474,TB_FNX_TIPO_RESOURCE_BUNDLE!$A$7:$B$28,2,FALSE)</f>
        <v>Rótulo de entrada de texto</v>
      </c>
      <c r="E474" s="25" t="s">
        <v>2023</v>
      </c>
      <c r="F474" s="2" t="s">
        <v>2015</v>
      </c>
      <c r="G474" s="25" t="s">
        <v>2015</v>
      </c>
      <c r="H474" s="25" t="str">
        <f t="shared" si="22"/>
        <v>#{msg['LBL_GORC_TETO_EXTERNO.label']}</v>
      </c>
      <c r="I474" s="25" t="str">
        <f t="shared" si="23"/>
        <v>#{msg['LBL_GORC_TETO_EXTERNO.hint']}</v>
      </c>
    </row>
    <row r="475" spans="1:9" x14ac:dyDescent="0.25">
      <c r="A475" s="25">
        <f t="shared" si="21"/>
        <v>469</v>
      </c>
      <c r="C475" s="25">
        <v>4</v>
      </c>
      <c r="D475" s="25" t="str">
        <f>VLOOKUP(C475,TB_FNX_TIPO_RESOURCE_BUNDLE!$A$7:$B$28,2,FALSE)</f>
        <v>Rótulo de entrada de texto</v>
      </c>
      <c r="E475" s="25" t="s">
        <v>2024</v>
      </c>
      <c r="F475" s="2" t="s">
        <v>2021</v>
      </c>
      <c r="G475" s="25" t="s">
        <v>2021</v>
      </c>
      <c r="H475" s="25" t="str">
        <f t="shared" si="22"/>
        <v>#{msg['LBL_GORC_ENTIDADE.label']}</v>
      </c>
      <c r="I475" s="25" t="str">
        <f t="shared" si="23"/>
        <v>#{msg['LBL_GORC_ENTIDADE.hint']}</v>
      </c>
    </row>
    <row r="476" spans="1:9" x14ac:dyDescent="0.25">
      <c r="A476" s="25">
        <f t="shared" si="21"/>
        <v>470</v>
      </c>
      <c r="C476" s="25">
        <v>4</v>
      </c>
      <c r="D476" s="25" t="str">
        <f>VLOOKUP(C476,TB_FNX_TIPO_RESOURCE_BUNDLE!$A$7:$B$28,2,FALSE)</f>
        <v>Rótulo de entrada de texto</v>
      </c>
      <c r="E476" s="25" t="s">
        <v>2025</v>
      </c>
      <c r="F476" s="2" t="s">
        <v>2020</v>
      </c>
      <c r="G476" s="25" t="s">
        <v>2020</v>
      </c>
      <c r="H476" s="25" t="str">
        <f t="shared" si="22"/>
        <v>#{msg['LBL_GORC_DESEMBOLSO.label']}</v>
      </c>
      <c r="I476" s="25" t="str">
        <f t="shared" si="23"/>
        <v>#{msg['LBL_GORC_DESEMBOLSO.hint']}</v>
      </c>
    </row>
    <row r="477" spans="1:9" x14ac:dyDescent="0.25">
      <c r="A477" s="25">
        <f t="shared" si="21"/>
        <v>471</v>
      </c>
      <c r="C477" s="25">
        <v>4</v>
      </c>
      <c r="D477" s="25" t="str">
        <f>VLOOKUP(C477,TB_FNX_TIPO_RESOURCE_BUNDLE!$A$7:$B$28,2,FALSE)</f>
        <v>Rótulo de entrada de texto</v>
      </c>
      <c r="E477" s="25" t="s">
        <v>2026</v>
      </c>
      <c r="F477" s="2" t="s">
        <v>2016</v>
      </c>
      <c r="G477" s="25" t="s">
        <v>2016</v>
      </c>
      <c r="H477" s="25" t="str">
        <f t="shared" si="22"/>
        <v>#{msg['LBL_GORC_PREV_APEX.label']}</v>
      </c>
      <c r="I477" s="25" t="str">
        <f t="shared" si="23"/>
        <v>#{msg['LBL_GORC_PREV_APEX.hint']}</v>
      </c>
    </row>
    <row r="478" spans="1:9" x14ac:dyDescent="0.25">
      <c r="A478" s="25">
        <f t="shared" si="21"/>
        <v>472</v>
      </c>
      <c r="C478" s="25">
        <v>4</v>
      </c>
      <c r="D478" s="25" t="str">
        <f>VLOOKUP(C478,TB_FNX_TIPO_RESOURCE_BUNDLE!$A$7:$B$28,2,FALSE)</f>
        <v>Rótulo de entrada de texto</v>
      </c>
      <c r="E478" s="25" t="s">
        <v>2027</v>
      </c>
      <c r="F478" s="2" t="s">
        <v>2017</v>
      </c>
      <c r="G478" s="25" t="s">
        <v>2017</v>
      </c>
      <c r="H478" s="25" t="str">
        <f t="shared" si="22"/>
        <v>#{msg['LBL_GORC_SALDO_APEX.label']}</v>
      </c>
      <c r="I478" s="25" t="str">
        <f t="shared" si="23"/>
        <v>#{msg['LBL_GORC_SALDO_APEX.hint']}</v>
      </c>
    </row>
    <row r="479" spans="1:9" x14ac:dyDescent="0.25">
      <c r="A479" s="25">
        <f t="shared" si="21"/>
        <v>473</v>
      </c>
      <c r="C479" s="25">
        <v>4</v>
      </c>
      <c r="D479" s="25" t="str">
        <f>VLOOKUP(C479,TB_FNX_TIPO_RESOURCE_BUNDLE!$A$7:$B$28,2,FALSE)</f>
        <v>Rótulo de entrada de texto</v>
      </c>
      <c r="E479" s="25" t="s">
        <v>2028</v>
      </c>
      <c r="F479" s="2" t="s">
        <v>2018</v>
      </c>
      <c r="G479" s="25" t="s">
        <v>2018</v>
      </c>
      <c r="H479" s="25" t="str">
        <f t="shared" si="22"/>
        <v>#{msg['LBL_GORC_PREV_EXTERNO.label']}</v>
      </c>
      <c r="I479" s="25" t="str">
        <f t="shared" si="23"/>
        <v>#{msg['LBL_GORC_PREV_EXTERNO.hint']}</v>
      </c>
    </row>
    <row r="480" spans="1:9" x14ac:dyDescent="0.25">
      <c r="A480" s="25">
        <f t="shared" si="21"/>
        <v>474</v>
      </c>
      <c r="C480" s="25">
        <v>4</v>
      </c>
      <c r="D480" s="25" t="str">
        <f>VLOOKUP(C480,TB_FNX_TIPO_RESOURCE_BUNDLE!$A$7:$B$28,2,FALSE)</f>
        <v>Rótulo de entrada de texto</v>
      </c>
      <c r="E480" s="25" t="s">
        <v>2029</v>
      </c>
      <c r="F480" s="2" t="s">
        <v>2019</v>
      </c>
      <c r="G480" s="25" t="s">
        <v>2019</v>
      </c>
      <c r="H480" s="25" t="str">
        <f t="shared" si="22"/>
        <v>#{msg['LBL_GORC_SALDO_EXTERNO.label']}</v>
      </c>
      <c r="I480" s="25" t="str">
        <f t="shared" si="23"/>
        <v>#{msg['LBL_GORC_SALDO_EXTERNO.hint']}</v>
      </c>
    </row>
    <row r="481" spans="1:9" x14ac:dyDescent="0.25">
      <c r="A481" s="25">
        <f t="shared" si="21"/>
        <v>475</v>
      </c>
      <c r="C481" s="25">
        <v>4</v>
      </c>
      <c r="D481" s="25" t="str">
        <f>VLOOKUP(C481,TB_FNX_TIPO_RESOURCE_BUNDLE!$A$7:$B$28,2,FALSE)</f>
        <v>Rótulo de entrada de texto</v>
      </c>
      <c r="E481" s="25" t="s">
        <v>2030</v>
      </c>
      <c r="F481" s="2" t="s">
        <v>2022</v>
      </c>
      <c r="G481" s="25" t="s">
        <v>2022</v>
      </c>
      <c r="H481" s="25" t="str">
        <f t="shared" si="22"/>
        <v>#{msg['LBL_GORC_REALIZADO.label']}</v>
      </c>
      <c r="I481" s="25" t="str">
        <f t="shared" si="23"/>
        <v>#{msg['LBL_GORC_REALIZADO.hint']}</v>
      </c>
    </row>
    <row r="482" spans="1:9" x14ac:dyDescent="0.25">
      <c r="A482" s="25">
        <f t="shared" si="21"/>
        <v>476</v>
      </c>
      <c r="C482" s="25">
        <v>4</v>
      </c>
      <c r="D482" s="25" t="str">
        <f>VLOOKUP(C482,TB_FNX_TIPO_RESOURCE_BUNDLE!$A$7:$B$28,2,FALSE)</f>
        <v>Rótulo de entrada de texto</v>
      </c>
      <c r="E482" s="2" t="s">
        <v>2036</v>
      </c>
      <c r="F482" s="2" t="s">
        <v>2037</v>
      </c>
      <c r="H482" s="25" t="str">
        <f t="shared" si="22"/>
        <v>#{msg['LBL_DADOS_GRAVADOS.label']}</v>
      </c>
      <c r="I482" s="25" t="str">
        <f t="shared" si="23"/>
        <v>#{msg['LBL_DADOS_GRAVADOS.hint']}</v>
      </c>
    </row>
    <row r="483" spans="1:9" x14ac:dyDescent="0.25">
      <c r="A483" s="25">
        <f t="shared" si="21"/>
        <v>477</v>
      </c>
      <c r="C483" s="25">
        <v>4</v>
      </c>
      <c r="D483" s="25" t="str">
        <f>VLOOKUP(C483,TB_FNX_TIPO_RESOURCE_BUNDLE!$A$7:$B$28,2,FALSE)</f>
        <v>Rótulo de entrada de texto</v>
      </c>
      <c r="E483" s="2" t="s">
        <v>2040</v>
      </c>
      <c r="F483" s="2" t="s">
        <v>2041</v>
      </c>
      <c r="G483" s="25" t="s">
        <v>2041</v>
      </c>
      <c r="H483" s="25" t="str">
        <f t="shared" si="22"/>
        <v>#{msg['LBL_GST_FIN_CONFORMIDADE.label']}</v>
      </c>
      <c r="I483" s="25" t="str">
        <f t="shared" si="23"/>
        <v>#{msg['LBL_GST_FIN_CONFORMIDADE.hint']}</v>
      </c>
    </row>
    <row r="484" spans="1:9" x14ac:dyDescent="0.25">
      <c r="A484" s="25">
        <f t="shared" si="21"/>
        <v>478</v>
      </c>
      <c r="B484" s="25"/>
      <c r="C484" s="25">
        <v>4</v>
      </c>
      <c r="D484" s="25" t="str">
        <f>VLOOKUP(C484,TB_FNX_TIPO_RESOURCE_BUNDLE!$A$7:$B$28,2,FALSE)</f>
        <v>Rótulo de entrada de texto</v>
      </c>
      <c r="E484" s="2" t="s">
        <v>2050</v>
      </c>
      <c r="F484" s="2" t="s">
        <v>2051</v>
      </c>
      <c r="G484" s="25" t="s">
        <v>2046</v>
      </c>
      <c r="H484" s="25" t="str">
        <f t="shared" si="22"/>
        <v>#{msg['LBL_CONFIRMAR_INCLUSAO.label']}</v>
      </c>
      <c r="I484" s="25" t="str">
        <f t="shared" si="23"/>
        <v>#{msg['LBL_CONFIRMAR_INCLUSAO.hint']}</v>
      </c>
    </row>
    <row r="485" spans="1:9" x14ac:dyDescent="0.25">
      <c r="A485" s="25">
        <f t="shared" si="21"/>
        <v>479</v>
      </c>
      <c r="B485" s="25"/>
      <c r="C485" s="25">
        <v>4</v>
      </c>
      <c r="D485" s="25" t="str">
        <f>VLOOKUP(C485,TB_FNX_TIPO_RESOURCE_BUNDLE!$A$7:$B$28,2,FALSE)</f>
        <v>Rótulo de entrada de texto</v>
      </c>
      <c r="E485" s="2" t="s">
        <v>2052</v>
      </c>
      <c r="F485" s="2" t="s">
        <v>2053</v>
      </c>
      <c r="G485" s="4" t="s">
        <v>2054</v>
      </c>
      <c r="H485" s="25" t="str">
        <f t="shared" si="22"/>
        <v>#{msg['LBL_GORC_EXPORTAR.label']}</v>
      </c>
      <c r="I485" s="25" t="str">
        <f t="shared" si="23"/>
        <v>#{msg['LBL_GORC_EXPORTAR.hint']}</v>
      </c>
    </row>
    <row r="486" spans="1:9" x14ac:dyDescent="0.25">
      <c r="A486" s="25">
        <f t="shared" si="21"/>
        <v>480</v>
      </c>
      <c r="B486"/>
      <c r="C486" s="32">
        <v>4</v>
      </c>
      <c r="D486" s="25" t="str">
        <f>VLOOKUP(C486,TB_FNX_TIPO_RESOURCE_BUNDLE!$A$7:$B$28,2,FALSE)</f>
        <v>Rótulo de entrada de texto</v>
      </c>
      <c r="E486" s="32" t="s">
        <v>2055</v>
      </c>
      <c r="F486" s="32" t="s">
        <v>972</v>
      </c>
      <c r="G486"/>
      <c r="H486" s="25" t="str">
        <f t="shared" si="22"/>
        <v>#{msg['LBL_METAS_TAB_INDICADOR.label']}</v>
      </c>
      <c r="I486" s="25" t="str">
        <f t="shared" si="23"/>
        <v>#{msg['LBL_METAS_TAB_INDICADOR.hint']}</v>
      </c>
    </row>
    <row r="487" spans="1:9" x14ac:dyDescent="0.25">
      <c r="A487" s="25">
        <f t="shared" si="21"/>
        <v>481</v>
      </c>
      <c r="B487"/>
      <c r="C487" s="32">
        <v>4</v>
      </c>
      <c r="D487" s="25" t="str">
        <f>VLOOKUP(C487,TB_FNX_TIPO_RESOURCE_BUNDLE!$A$7:$B$28,2,FALSE)</f>
        <v>Rótulo de entrada de texto</v>
      </c>
      <c r="E487" s="32" t="s">
        <v>2056</v>
      </c>
      <c r="F487" s="32" t="s">
        <v>973</v>
      </c>
      <c r="G487"/>
      <c r="H487" s="25" t="str">
        <f t="shared" si="22"/>
        <v>#{msg['LBL_METAS_TAB_ANO.label']}</v>
      </c>
      <c r="I487" s="25" t="str">
        <f t="shared" si="23"/>
        <v>#{msg['LBL_METAS_TAB_ANO.hint']}</v>
      </c>
    </row>
    <row r="488" spans="1:9" x14ac:dyDescent="0.25">
      <c r="A488" s="25">
        <f t="shared" si="21"/>
        <v>482</v>
      </c>
      <c r="B488"/>
      <c r="C488" s="32">
        <v>4</v>
      </c>
      <c r="D488" s="25" t="str">
        <f>VLOOKUP(C488,TB_FNX_TIPO_RESOURCE_BUNDLE!$A$7:$B$28,2,FALSE)</f>
        <v>Rótulo de entrada de texto</v>
      </c>
      <c r="E488" s="32" t="s">
        <v>2057</v>
      </c>
      <c r="F488" s="32" t="s">
        <v>2058</v>
      </c>
      <c r="G488"/>
      <c r="H488" s="25" t="str">
        <f t="shared" si="22"/>
        <v>#{msg['LBL_METAS_TAB_VL_META.label']}</v>
      </c>
      <c r="I488" s="25" t="str">
        <f t="shared" si="23"/>
        <v>#{msg['LBL_METAS_TAB_VL_META.hint']}</v>
      </c>
    </row>
    <row r="489" spans="1:9" x14ac:dyDescent="0.25">
      <c r="A489" s="25">
        <f t="shared" si="21"/>
        <v>483</v>
      </c>
      <c r="B489"/>
      <c r="C489" s="32">
        <v>4</v>
      </c>
      <c r="D489" s="25" t="str">
        <f>VLOOKUP(C489,TB_FNX_TIPO_RESOURCE_BUNDLE!$A$7:$B$28,2,FALSE)</f>
        <v>Rótulo de entrada de texto</v>
      </c>
      <c r="E489" s="32" t="s">
        <v>2059</v>
      </c>
      <c r="F489" s="32" t="s">
        <v>2060</v>
      </c>
      <c r="G489"/>
      <c r="H489" s="25" t="str">
        <f t="shared" si="22"/>
        <v>#{msg['LBL_METAS_TAB_PESO.label']}</v>
      </c>
      <c r="I489" s="25" t="str">
        <f t="shared" si="23"/>
        <v>#{msg['LBL_METAS_TAB_PESO.hint']}</v>
      </c>
    </row>
    <row r="490" spans="1:9" x14ac:dyDescent="0.25">
      <c r="A490" s="25">
        <f t="shared" si="21"/>
        <v>484</v>
      </c>
      <c r="B490"/>
      <c r="C490" s="32">
        <v>4</v>
      </c>
      <c r="D490" s="25" t="str">
        <f>VLOOKUP(C490,TB_FNX_TIPO_RESOURCE_BUNDLE!$A$7:$B$28,2,FALSE)</f>
        <v>Rótulo de entrada de texto</v>
      </c>
      <c r="E490" s="32" t="s">
        <v>2061</v>
      </c>
      <c r="F490" s="32" t="s">
        <v>2062</v>
      </c>
      <c r="G490"/>
      <c r="H490" s="25" t="str">
        <f t="shared" si="22"/>
        <v>#{msg['LBL_METAS_TAB_VL_ALCANCADO.label']}</v>
      </c>
      <c r="I490" s="25" t="str">
        <f t="shared" si="23"/>
        <v>#{msg['LBL_METAS_TAB_VL_ALCANCADO.hint']}</v>
      </c>
    </row>
    <row r="491" spans="1:9" x14ac:dyDescent="0.25">
      <c r="A491" s="25">
        <f t="shared" si="21"/>
        <v>485</v>
      </c>
      <c r="B491"/>
      <c r="C491" s="32">
        <v>1</v>
      </c>
      <c r="D491" s="25" t="str">
        <f>VLOOKUP(C491,TB_FNX_TIPO_RESOURCE_BUNDLE!$A$7:$B$28,2,FALSE)</f>
        <v>Botão</v>
      </c>
      <c r="E491" s="32" t="s">
        <v>2063</v>
      </c>
      <c r="F491" s="32" t="s">
        <v>194</v>
      </c>
      <c r="G491"/>
      <c r="H491" s="25" t="str">
        <f t="shared" si="22"/>
        <v>#{msg['CMD_METAS_INCLUIR.label']}</v>
      </c>
      <c r="I491" s="25" t="str">
        <f t="shared" si="23"/>
        <v>#{msg['CMD_METAS_INCLUIR.hint']}</v>
      </c>
    </row>
    <row r="492" spans="1:9" x14ac:dyDescent="0.25">
      <c r="A492" s="25">
        <f t="shared" si="21"/>
        <v>486</v>
      </c>
      <c r="B492"/>
      <c r="C492" s="32">
        <v>1</v>
      </c>
      <c r="D492" s="25" t="str">
        <f>VLOOKUP(C492,TB_FNX_TIPO_RESOURCE_BUNDLE!$A$7:$B$28,2,FALSE)</f>
        <v>Botão</v>
      </c>
      <c r="E492" s="32" t="s">
        <v>2064</v>
      </c>
      <c r="F492" s="32" t="s">
        <v>2065</v>
      </c>
      <c r="G492"/>
      <c r="H492" s="25" t="str">
        <f t="shared" si="22"/>
        <v>#{msg['CMD_METAS_ALTERAR.label']}</v>
      </c>
      <c r="I492" s="25" t="str">
        <f t="shared" si="23"/>
        <v>#{msg['CMD_METAS_ALTERAR.hint']}</v>
      </c>
    </row>
    <row r="493" spans="1:9" x14ac:dyDescent="0.25">
      <c r="A493" s="25">
        <f t="shared" si="21"/>
        <v>487</v>
      </c>
      <c r="B493"/>
      <c r="C493" s="32">
        <v>1</v>
      </c>
      <c r="D493" s="25" t="str">
        <f>VLOOKUP(C493,TB_FNX_TIPO_RESOURCE_BUNDLE!$A$7:$B$28,2,FALSE)</f>
        <v>Botão</v>
      </c>
      <c r="E493" s="32" t="s">
        <v>2066</v>
      </c>
      <c r="F493" s="32" t="s">
        <v>143</v>
      </c>
      <c r="G493"/>
      <c r="H493" s="25" t="str">
        <f t="shared" si="22"/>
        <v>#{msg['CMD_METAS_EXCLUIR.label']}</v>
      </c>
      <c r="I493" s="25" t="str">
        <f t="shared" si="23"/>
        <v>#{msg['CMD_METAS_EXCLUIR.hint']}</v>
      </c>
    </row>
    <row r="494" spans="1:9" x14ac:dyDescent="0.25">
      <c r="A494" s="25">
        <f t="shared" si="21"/>
        <v>488</v>
      </c>
      <c r="B494"/>
      <c r="C494" s="32">
        <v>1</v>
      </c>
      <c r="D494" s="25" t="str">
        <f>VLOOKUP(C494,TB_FNX_TIPO_RESOURCE_BUNDLE!$A$7:$B$28,2,FALSE)</f>
        <v>Botão</v>
      </c>
      <c r="E494" s="32" t="s">
        <v>2067</v>
      </c>
      <c r="F494" s="32" t="s">
        <v>162</v>
      </c>
      <c r="G494"/>
      <c r="H494" s="25" t="str">
        <f t="shared" si="22"/>
        <v>#{msg['CMD_METAS_GRAVAR.label']}</v>
      </c>
      <c r="I494" s="25" t="str">
        <f t="shared" si="23"/>
        <v>#{msg['CMD_METAS_GRAVAR.hint']}</v>
      </c>
    </row>
    <row r="495" spans="1:9" x14ac:dyDescent="0.25">
      <c r="A495" s="25">
        <f t="shared" si="21"/>
        <v>489</v>
      </c>
      <c r="B495"/>
      <c r="C495" s="32">
        <v>1</v>
      </c>
      <c r="D495" s="25" t="str">
        <f>VLOOKUP(C495,TB_FNX_TIPO_RESOURCE_BUNDLE!$A$7:$B$28,2,FALSE)</f>
        <v>Botão</v>
      </c>
      <c r="E495" s="32" t="s">
        <v>2068</v>
      </c>
      <c r="F495" s="32" t="s">
        <v>165</v>
      </c>
      <c r="G495"/>
      <c r="H495" s="25" t="str">
        <f t="shared" si="22"/>
        <v>#{msg['CMD_METAS_FECHAR.label']}</v>
      </c>
      <c r="I495" s="25" t="str">
        <f t="shared" si="23"/>
        <v>#{msg['CMD_METAS_FECHAR.hint']}</v>
      </c>
    </row>
    <row r="496" spans="1:9" x14ac:dyDescent="0.25">
      <c r="A496" s="25">
        <f t="shared" si="21"/>
        <v>490</v>
      </c>
      <c r="B496"/>
      <c r="C496" s="32">
        <v>4</v>
      </c>
      <c r="D496" s="25" t="str">
        <f>VLOOKUP(C496,TB_FNX_TIPO_RESOURCE_BUNDLE!$A$7:$B$28,2,FALSE)</f>
        <v>Rótulo de entrada de texto</v>
      </c>
      <c r="E496" s="32" t="s">
        <v>2069</v>
      </c>
      <c r="F496" s="32" t="s">
        <v>2070</v>
      </c>
      <c r="G496"/>
      <c r="H496" s="25" t="str">
        <f t="shared" si="22"/>
        <v>#{msg['LBL_METAS_POP_INCLUIR.label']}</v>
      </c>
      <c r="I496" s="25" t="str">
        <f t="shared" si="23"/>
        <v>#{msg['LBL_METAS_POP_INCLUIR.hint']}</v>
      </c>
    </row>
    <row r="497" spans="1:9" x14ac:dyDescent="0.25">
      <c r="A497" s="25">
        <f t="shared" si="21"/>
        <v>491</v>
      </c>
      <c r="B497"/>
      <c r="C497" s="32">
        <v>4</v>
      </c>
      <c r="D497" s="25" t="str">
        <f>VLOOKUP(C497,TB_FNX_TIPO_RESOURCE_BUNDLE!$A$7:$B$28,2,FALSE)</f>
        <v>Rótulo de entrada de texto</v>
      </c>
      <c r="E497" s="32" t="s">
        <v>2071</v>
      </c>
      <c r="F497" s="32" t="s">
        <v>2072</v>
      </c>
      <c r="G497"/>
      <c r="H497" s="25" t="str">
        <f t="shared" si="22"/>
        <v>#{msg['LBL_METAS_POP_ALTERAR.label']}</v>
      </c>
      <c r="I497" s="25" t="str">
        <f t="shared" si="23"/>
        <v>#{msg['LBL_METAS_POP_ALTERAR.hint']}</v>
      </c>
    </row>
    <row r="498" spans="1:9" x14ac:dyDescent="0.25">
      <c r="A498" s="25">
        <f t="shared" si="21"/>
        <v>492</v>
      </c>
      <c r="B498"/>
      <c r="C498" s="32">
        <v>1</v>
      </c>
      <c r="D498" s="25" t="str">
        <f>VLOOKUP(C498,TB_FNX_TIPO_RESOURCE_BUNDLE!$A$7:$B$28,2,FALSE)</f>
        <v>Botão</v>
      </c>
      <c r="E498" s="32" t="s">
        <v>2073</v>
      </c>
      <c r="F498" s="32" t="s">
        <v>2074</v>
      </c>
      <c r="G498"/>
      <c r="H498" s="25" t="str">
        <f t="shared" si="22"/>
        <v>#{msg['CMD_METAS_POP_EXCLUIR.label']}</v>
      </c>
      <c r="I498" s="25" t="str">
        <f t="shared" si="23"/>
        <v>#{msg['CMD_METAS_POP_EXCLUIR.hint']}</v>
      </c>
    </row>
    <row r="499" spans="1:9" x14ac:dyDescent="0.25">
      <c r="A499" s="25">
        <f t="shared" si="21"/>
        <v>493</v>
      </c>
      <c r="B499"/>
      <c r="C499" s="32">
        <v>1</v>
      </c>
      <c r="D499" s="25" t="str">
        <f>VLOOKUP(C499,TB_FNX_TIPO_RESOURCE_BUNDLE!$A$7:$B$28,2,FALSE)</f>
        <v>Botão</v>
      </c>
      <c r="E499" s="32" t="s">
        <v>2075</v>
      </c>
      <c r="F499" s="32" t="s">
        <v>329</v>
      </c>
      <c r="G499"/>
      <c r="H499" s="25" t="str">
        <f t="shared" si="22"/>
        <v>#{msg['CMD_METAS_POP_CANCELAR.label']}</v>
      </c>
      <c r="I499" s="25" t="str">
        <f t="shared" si="23"/>
        <v>#{msg['CMD_METAS_POP_CANCELAR.hint']}</v>
      </c>
    </row>
    <row r="500" spans="1:9" x14ac:dyDescent="0.25">
      <c r="A500" s="25">
        <f t="shared" si="21"/>
        <v>494</v>
      </c>
      <c r="B500"/>
      <c r="C500" s="32">
        <v>4</v>
      </c>
      <c r="D500" s="25" t="str">
        <f>VLOOKUP(C500,TB_FNX_TIPO_RESOURCE_BUNDLE!$A$7:$B$28,2,FALSE)</f>
        <v>Rótulo de entrada de texto</v>
      </c>
      <c r="E500" s="32" t="s">
        <v>2076</v>
      </c>
      <c r="F500" s="32" t="s">
        <v>2077</v>
      </c>
      <c r="G500"/>
      <c r="H500" s="25" t="str">
        <f t="shared" si="22"/>
        <v>#{msg['LBL_METAS_POP_TIT_EXLUIR.label']}</v>
      </c>
      <c r="I500" s="25" t="str">
        <f t="shared" si="23"/>
        <v>#{msg['LBL_METAS_POP_TIT_EXLUIR.hint']}</v>
      </c>
    </row>
    <row r="501" spans="1:9" x14ac:dyDescent="0.25">
      <c r="A501" s="25">
        <f t="shared" si="21"/>
        <v>495</v>
      </c>
      <c r="B501"/>
      <c r="C501" s="32">
        <v>4</v>
      </c>
      <c r="D501" s="25" t="str">
        <f>VLOOKUP(C501,TB_FNX_TIPO_RESOURCE_BUNDLE!$A$7:$B$28,2,FALSE)</f>
        <v>Rótulo de entrada de texto</v>
      </c>
      <c r="E501" s="32" t="s">
        <v>2078</v>
      </c>
      <c r="F501" s="32" t="s">
        <v>2079</v>
      </c>
      <c r="G501"/>
      <c r="H501" s="25" t="str">
        <f t="shared" si="22"/>
        <v>#{msg['LBL_METAS_POP_EXCLUIR_PERG.label']}</v>
      </c>
      <c r="I501" s="25" t="str">
        <f t="shared" si="23"/>
        <v>#{msg['LBL_METAS_POP_EXCLUIR_PERG.hint']}</v>
      </c>
    </row>
    <row r="502" spans="1:9" x14ac:dyDescent="0.25">
      <c r="A502" s="25">
        <f t="shared" si="21"/>
        <v>496</v>
      </c>
      <c r="B502" s="38"/>
      <c r="C502" s="38">
        <v>4</v>
      </c>
      <c r="D502" s="25" t="str">
        <f>VLOOKUP(C502,TB_FNX_TIPO_RESOURCE_BUNDLE!$A$7:$B$28,2,FALSE)</f>
        <v>Rótulo de entrada de texto</v>
      </c>
      <c r="E502" s="2" t="s">
        <v>2087</v>
      </c>
      <c r="F502" s="2" t="s">
        <v>2088</v>
      </c>
      <c r="H502" s="25" t="str">
        <f t="shared" si="22"/>
        <v>#{msg['LBL_AC_EDT_PAISES_ACAO.label']}</v>
      </c>
      <c r="I502" s="25" t="str">
        <f t="shared" si="23"/>
        <v>#{msg['LBL_AC_EDT_PAISES_ACAO.hint']}</v>
      </c>
    </row>
    <row r="503" spans="1:9" x14ac:dyDescent="0.25">
      <c r="A503" s="25">
        <f t="shared" si="21"/>
        <v>497</v>
      </c>
      <c r="B503" s="38"/>
      <c r="C503" s="38">
        <v>4</v>
      </c>
      <c r="D503" s="25" t="str">
        <f>VLOOKUP(C503,TB_FNX_TIPO_RESOURCE_BUNDLE!$A$7:$B$28,2,FALSE)</f>
        <v>Rótulo de entrada de texto</v>
      </c>
      <c r="E503" s="2" t="s">
        <v>2089</v>
      </c>
      <c r="F503" s="2" t="s">
        <v>2090</v>
      </c>
      <c r="H503" s="25" t="str">
        <f t="shared" si="22"/>
        <v>#{msg['LBL_AC_EDT_PAISES_DISP.label']}</v>
      </c>
      <c r="I503" s="25" t="str">
        <f t="shared" si="23"/>
        <v>#{msg['LBL_AC_EDT_PAISES_DISP.hint']}</v>
      </c>
    </row>
    <row r="504" spans="1:9" x14ac:dyDescent="0.25">
      <c r="A504" s="25">
        <f t="shared" si="21"/>
        <v>498</v>
      </c>
      <c r="B504" s="38"/>
      <c r="C504" s="38">
        <v>4</v>
      </c>
      <c r="D504" s="25" t="str">
        <f>VLOOKUP(C504,TB_FNX_TIPO_RESOURCE_BUNDLE!$A$7:$B$28,2,FALSE)</f>
        <v>Rótulo de entrada de texto</v>
      </c>
      <c r="E504" s="2" t="s">
        <v>2091</v>
      </c>
      <c r="F504" s="2" t="s">
        <v>2096</v>
      </c>
      <c r="H504" s="25" t="str">
        <f t="shared" si="22"/>
        <v>#{msg['LBL_AC_EDT_PAIS_NAO_DEFINIDO.label']}</v>
      </c>
      <c r="I504" s="25" t="str">
        <f t="shared" si="23"/>
        <v>#{msg['LBL_AC_EDT_PAIS_NAO_DEFINIDO.hint']}</v>
      </c>
    </row>
    <row r="505" spans="1:9" x14ac:dyDescent="0.25">
      <c r="A505" s="25">
        <f t="shared" si="21"/>
        <v>499</v>
      </c>
      <c r="B505" s="38"/>
      <c r="C505" s="38">
        <v>4</v>
      </c>
      <c r="D505" s="25" t="str">
        <f>VLOOKUP(C505,TB_FNX_TIPO_RESOURCE_BUNDLE!$A$7:$B$28,2,FALSE)</f>
        <v>Rótulo de entrada de texto</v>
      </c>
      <c r="E505" s="2" t="s">
        <v>2093</v>
      </c>
      <c r="F505" s="2" t="s">
        <v>2094</v>
      </c>
      <c r="H505" s="25" t="str">
        <f t="shared" si="22"/>
        <v>#{msg['LBL_AC_EDT_PAISES_ALVO.label']}</v>
      </c>
      <c r="I505" s="25" t="str">
        <f t="shared" si="23"/>
        <v>#{msg['LBL_AC_EDT_PAISES_ALVO.hint']}</v>
      </c>
    </row>
    <row r="506" spans="1:9" x14ac:dyDescent="0.25">
      <c r="A506" s="25">
        <f t="shared" si="21"/>
        <v>500</v>
      </c>
      <c r="B506" s="38"/>
      <c r="C506" s="38">
        <v>4</v>
      </c>
      <c r="D506" s="25" t="str">
        <f>VLOOKUP(C506,TB_FNX_TIPO_RESOURCE_BUNDLE!$A$7:$B$28,2,FALSE)</f>
        <v>Rótulo de entrada de texto</v>
      </c>
      <c r="E506" s="2" t="s">
        <v>2095</v>
      </c>
      <c r="F506" s="2" t="s">
        <v>2092</v>
      </c>
      <c r="G506" s="4" t="s">
        <v>2097</v>
      </c>
      <c r="H506" s="25" t="str">
        <f t="shared" si="22"/>
        <v>#{msg['LBL_AC_EDT_PAISES.label']}</v>
      </c>
      <c r="I506" s="25" t="str">
        <f t="shared" si="23"/>
        <v>#{msg['LBL_AC_EDT_PAISES.hint']}</v>
      </c>
    </row>
    <row r="507" spans="1:9" x14ac:dyDescent="0.25">
      <c r="A507" s="25">
        <f t="shared" si="21"/>
        <v>501</v>
      </c>
      <c r="C507" s="2">
        <v>1</v>
      </c>
      <c r="D507" s="25" t="str">
        <f>VLOOKUP(C507,TB_FNX_TIPO_RESOURCE_BUNDLE!$A$7:$B$28,2,FALSE)</f>
        <v>Botão</v>
      </c>
      <c r="E507" s="2" t="s">
        <v>2107</v>
      </c>
      <c r="F507" s="2" t="s">
        <v>289</v>
      </c>
      <c r="H507" s="25" t="str">
        <f t="shared" si="22"/>
        <v>#{msg['CMD_CNAE_PESQ.label']}</v>
      </c>
      <c r="I507" s="25" t="str">
        <f t="shared" si="23"/>
        <v>#{msg['CMD_CNAE_PESQ.hint']}</v>
      </c>
    </row>
    <row r="508" spans="1:9" x14ac:dyDescent="0.25">
      <c r="A508" s="25">
        <f t="shared" si="21"/>
        <v>502</v>
      </c>
      <c r="C508" s="38">
        <v>4</v>
      </c>
      <c r="D508" s="25" t="str">
        <f>VLOOKUP(C508,TB_FNX_TIPO_RESOURCE_BUNDLE!$A$7:$B$28,2,FALSE)</f>
        <v>Rótulo de entrada de texto</v>
      </c>
      <c r="E508" s="2" t="s">
        <v>2108</v>
      </c>
      <c r="F508" s="2" t="s">
        <v>1758</v>
      </c>
      <c r="G508" s="4" t="s">
        <v>2118</v>
      </c>
      <c r="H508" s="25" t="str">
        <f t="shared" si="22"/>
        <v>#{msg['LBL_CNAE_POP_FILT.label']}</v>
      </c>
      <c r="I508" s="25" t="str">
        <f t="shared" si="23"/>
        <v>#{msg['LBL_CNAE_POP_FILT.hint']}</v>
      </c>
    </row>
    <row r="509" spans="1:9" x14ac:dyDescent="0.25">
      <c r="A509" s="25">
        <f t="shared" si="21"/>
        <v>503</v>
      </c>
      <c r="C509" s="2">
        <v>1</v>
      </c>
      <c r="D509" s="25" t="str">
        <f>VLOOKUP(C509,TB_FNX_TIPO_RESOURCE_BUNDLE!$A$7:$B$28,2,FALSE)</f>
        <v>Botão</v>
      </c>
      <c r="E509" s="2" t="s">
        <v>2111</v>
      </c>
      <c r="F509" s="2" t="s">
        <v>2114</v>
      </c>
      <c r="H509" s="25" t="str">
        <f t="shared" si="22"/>
        <v>#{msg['CMD_CNAE_IMPORTAR.label']}</v>
      </c>
      <c r="I509" s="25" t="str">
        <f t="shared" si="23"/>
        <v>#{msg['CMD_CNAE_IMPORTAR.hint']}</v>
      </c>
    </row>
    <row r="510" spans="1:9" x14ac:dyDescent="0.25">
      <c r="A510" s="25">
        <f t="shared" si="21"/>
        <v>504</v>
      </c>
      <c r="C510" s="2">
        <v>1</v>
      </c>
      <c r="D510" s="25" t="str">
        <f>VLOOKUP(C510,TB_FNX_TIPO_RESOURCE_BUNDLE!$A$7:$B$28,2,FALSE)</f>
        <v>Botão</v>
      </c>
      <c r="E510" s="10" t="s">
        <v>2112</v>
      </c>
      <c r="F510" s="2" t="s">
        <v>2110</v>
      </c>
      <c r="H510" s="25" t="str">
        <f t="shared" si="22"/>
        <v>#{msg['CMD_CNAE_CADASTRAR.label']}</v>
      </c>
      <c r="I510" s="25" t="str">
        <f t="shared" si="23"/>
        <v>#{msg['CMD_CNAE_CADASTRAR.hint']}</v>
      </c>
    </row>
    <row r="511" spans="1:9" x14ac:dyDescent="0.25">
      <c r="A511" s="25">
        <f t="shared" si="21"/>
        <v>505</v>
      </c>
      <c r="C511" s="2">
        <v>1</v>
      </c>
      <c r="D511" s="25" t="str">
        <f>VLOOKUP(C511,TB_FNX_TIPO_RESOURCE_BUNDLE!$A$7:$B$28,2,FALSE)</f>
        <v>Botão</v>
      </c>
      <c r="E511" s="2" t="s">
        <v>2113</v>
      </c>
      <c r="F511" s="2" t="s">
        <v>2109</v>
      </c>
      <c r="H511" s="25" t="str">
        <f t="shared" si="22"/>
        <v>#{msg['CMD_CNAE_POP_IMPORTAR.label']}</v>
      </c>
      <c r="I511" s="25" t="str">
        <f t="shared" si="23"/>
        <v>#{msg['CMD_CNAE_POP_IMPORTAR.hint']}</v>
      </c>
    </row>
    <row r="512" spans="1:9" x14ac:dyDescent="0.25">
      <c r="A512" s="25">
        <f t="shared" si="21"/>
        <v>506</v>
      </c>
      <c r="C512" s="2">
        <v>1</v>
      </c>
      <c r="D512" s="25" t="str">
        <f>VLOOKUP(C512,TB_FNX_TIPO_RESOURCE_BUNDLE!$A$7:$B$28,2,FALSE)</f>
        <v>Botão</v>
      </c>
      <c r="E512" s="2" t="s">
        <v>2115</v>
      </c>
      <c r="F512" s="2" t="s">
        <v>165</v>
      </c>
      <c r="H512" s="25" t="str">
        <f t="shared" si="22"/>
        <v>#{msg['CMD_CNAE_POP_FECHAR.label']}</v>
      </c>
      <c r="I512" s="25" t="str">
        <f t="shared" si="23"/>
        <v>#{msg['CMD_CNAE_POP_FECHAR.hint']}</v>
      </c>
    </row>
    <row r="513" spans="1:9" x14ac:dyDescent="0.25">
      <c r="A513" s="25">
        <f t="shared" si="21"/>
        <v>507</v>
      </c>
      <c r="C513" s="2">
        <v>1</v>
      </c>
      <c r="D513" s="25" t="str">
        <f>VLOOKUP(C513,TB_FNX_TIPO_RESOURCE_BUNDLE!$A$7:$B$28,2,FALSE)</f>
        <v>Botão</v>
      </c>
      <c r="E513" s="2" t="s">
        <v>2116</v>
      </c>
      <c r="F513" s="2" t="s">
        <v>162</v>
      </c>
      <c r="H513" s="25" t="str">
        <f t="shared" si="22"/>
        <v>#{msg['CMD_CNAE_POP_GRAVAR.label']}</v>
      </c>
      <c r="I513" s="25" t="str">
        <f t="shared" si="23"/>
        <v>#{msg['CMD_CNAE_POP_GRAVAR.hint']}</v>
      </c>
    </row>
    <row r="514" spans="1:9" x14ac:dyDescent="0.25">
      <c r="A514" s="25">
        <f t="shared" si="21"/>
        <v>508</v>
      </c>
      <c r="C514" s="2">
        <v>4</v>
      </c>
      <c r="D514" s="25" t="str">
        <f>VLOOKUP(C514,TB_FNX_TIPO_RESOURCE_BUNDLE!$A$7:$B$28,2,FALSE)</f>
        <v>Rótulo de entrada de texto</v>
      </c>
      <c r="E514" s="2" t="s">
        <v>2117</v>
      </c>
      <c r="F514" s="2" t="s">
        <v>2118</v>
      </c>
      <c r="H514" s="25" t="str">
        <f t="shared" si="22"/>
        <v>#{msg['LBL_CNAE_COD.label']}</v>
      </c>
      <c r="I514" s="25" t="str">
        <f t="shared" si="23"/>
        <v>#{msg['LBL_CNAE_COD.hint']}</v>
      </c>
    </row>
    <row r="515" spans="1:9" x14ac:dyDescent="0.25">
      <c r="A515" s="25">
        <f t="shared" si="21"/>
        <v>509</v>
      </c>
      <c r="C515" s="25">
        <v>4</v>
      </c>
      <c r="D515" s="25" t="str">
        <f>VLOOKUP(C515,TB_FNX_TIPO_RESOURCE_BUNDLE!$A$7:$B$28,2,FALSE)</f>
        <v>Rótulo de entrada de texto</v>
      </c>
      <c r="E515" s="2" t="s">
        <v>2120</v>
      </c>
      <c r="F515" s="2" t="s">
        <v>2119</v>
      </c>
      <c r="H515" s="25" t="str">
        <f t="shared" si="22"/>
        <v>#{msg['LBL_CNAE_DESC_CLASSE.label']}</v>
      </c>
      <c r="I515" s="25" t="str">
        <f t="shared" si="23"/>
        <v>#{msg['LBL_CNAE_DESC_CLASSE.hint']}</v>
      </c>
    </row>
    <row r="516" spans="1:9" x14ac:dyDescent="0.25">
      <c r="A516" s="25">
        <f t="shared" si="21"/>
        <v>510</v>
      </c>
      <c r="C516" s="25">
        <v>4</v>
      </c>
      <c r="D516" s="25" t="str">
        <f>VLOOKUP(C516,TB_FNX_TIPO_RESOURCE_BUNDLE!$A$7:$B$28,2,FALSE)</f>
        <v>Rótulo de entrada de texto</v>
      </c>
      <c r="E516" s="2" t="s">
        <v>2121</v>
      </c>
      <c r="F516" s="2" t="s">
        <v>2122</v>
      </c>
      <c r="H516" s="25" t="str">
        <f t="shared" si="22"/>
        <v>#{msg['LBL_CNAE_DT_INCLUSAO.label']}</v>
      </c>
      <c r="I516" s="25" t="str">
        <f t="shared" si="23"/>
        <v>#{msg['LBL_CNAE_DT_INCLUSAO.hint']}</v>
      </c>
    </row>
    <row r="517" spans="1:9" x14ac:dyDescent="0.25">
      <c r="A517" s="25">
        <f t="shared" si="21"/>
        <v>511</v>
      </c>
      <c r="C517" s="25">
        <v>4</v>
      </c>
      <c r="D517" s="25" t="str">
        <f>VLOOKUP(C517,TB_FNX_TIPO_RESOURCE_BUNDLE!$A$7:$B$28,2,FALSE)</f>
        <v>Rótulo de entrada de texto</v>
      </c>
      <c r="E517" s="2" t="s">
        <v>2124</v>
      </c>
      <c r="F517" s="2" t="s">
        <v>2123</v>
      </c>
      <c r="H517" s="25" t="str">
        <f t="shared" si="22"/>
        <v>#{msg['LBL_CNAE_DT_EXCLUSAO.label']}</v>
      </c>
      <c r="I517" s="25" t="str">
        <f t="shared" si="23"/>
        <v>#{msg['LBL_CNAE_DT_EXCLUSAO.hint']}</v>
      </c>
    </row>
    <row r="518" spans="1:9" x14ac:dyDescent="0.25">
      <c r="A518" s="25">
        <f t="shared" si="21"/>
        <v>512</v>
      </c>
      <c r="C518" s="25">
        <v>4</v>
      </c>
      <c r="D518" s="25" t="str">
        <f>VLOOKUP(C518,TB_FNX_TIPO_RESOURCE_BUNDLE!$A$7:$B$28,2,FALSE)</f>
        <v>Rótulo de entrada de texto</v>
      </c>
      <c r="E518" s="2" t="s">
        <v>2125</v>
      </c>
      <c r="F518" s="2" t="s">
        <v>617</v>
      </c>
      <c r="H518" s="25" t="str">
        <f t="shared" si="22"/>
        <v>#{msg['LBL_CNAE_STATUS.label']}</v>
      </c>
      <c r="I518" s="25" t="str">
        <f t="shared" si="23"/>
        <v>#{msg['LBL_CNAE_STATUS.hint']}</v>
      </c>
    </row>
    <row r="519" spans="1:9" x14ac:dyDescent="0.25">
      <c r="A519" s="25">
        <f t="shared" si="21"/>
        <v>513</v>
      </c>
      <c r="C519" s="2">
        <v>4</v>
      </c>
      <c r="D519" s="25" t="str">
        <f>VLOOKUP(C519,TB_FNX_TIPO_RESOURCE_BUNDLE!$A$7:$B$28,2,FALSE)</f>
        <v>Rótulo de entrada de texto</v>
      </c>
      <c r="E519" s="2" t="s">
        <v>2143</v>
      </c>
      <c r="F519" s="2" t="s">
        <v>2144</v>
      </c>
      <c r="H519" s="25" t="str">
        <f t="shared" si="22"/>
        <v>#{msg['LBL_IMPORTAR_CNAES.label']}</v>
      </c>
      <c r="I519" s="25" t="str">
        <f t="shared" si="23"/>
        <v>#{msg['LBL_IMPORTAR_CNAES.hint']}</v>
      </c>
    </row>
    <row r="520" spans="1:9" x14ac:dyDescent="0.25">
      <c r="A520" s="25">
        <f t="shared" ref="A520:A583" si="24">A519+1</f>
        <v>514</v>
      </c>
      <c r="C520" s="25">
        <v>4</v>
      </c>
      <c r="D520" s="25" t="str">
        <f>VLOOKUP(C520,TB_FNX_TIPO_RESOURCE_BUNDLE!$A$7:$B$28,2,FALSE)</f>
        <v>Rótulo de entrada de texto</v>
      </c>
      <c r="E520" s="2" t="s">
        <v>2153</v>
      </c>
      <c r="F520" s="2" t="s">
        <v>2152</v>
      </c>
      <c r="G520" s="25"/>
      <c r="H520" s="25" t="str">
        <f t="shared" ref="H520:H581" si="25">CONCATENATE("#{msg['",$E520,".label']}")</f>
        <v>#{msg['LBL_PC_INF_ANEXO_TECNICA.label']}</v>
      </c>
      <c r="I520" s="25" t="str">
        <f t="shared" ref="I520:I583" si="26">CONCATENATE("#{msg['",$E520,".hint']}")</f>
        <v>#{msg['LBL_PC_INF_ANEXO_TECNICA.hint']}</v>
      </c>
    </row>
    <row r="521" spans="1:9" x14ac:dyDescent="0.25">
      <c r="A521" s="25">
        <f t="shared" si="24"/>
        <v>515</v>
      </c>
      <c r="C521" s="25">
        <v>1</v>
      </c>
      <c r="D521" s="25" t="str">
        <f>VLOOKUP(C521,TB_FNX_TIPO_RESOURCE_BUNDLE!$A$7:$B$28,2,FALSE)</f>
        <v>Botão</v>
      </c>
      <c r="E521" s="2" t="s">
        <v>2155</v>
      </c>
      <c r="F521" s="2" t="s">
        <v>194</v>
      </c>
      <c r="G521" s="4" t="s">
        <v>2154</v>
      </c>
      <c r="H521" s="25" t="str">
        <f t="shared" si="25"/>
        <v>#{msg['CMD_PC_INCLUIR_ARQUIVO.label']}</v>
      </c>
      <c r="I521" s="25" t="str">
        <f t="shared" si="26"/>
        <v>#{msg['CMD_PC_INCLUIR_ARQUIVO.hint']}</v>
      </c>
    </row>
    <row r="522" spans="1:9" x14ac:dyDescent="0.25">
      <c r="A522" s="25">
        <f t="shared" si="24"/>
        <v>516</v>
      </c>
      <c r="C522" s="25">
        <v>4</v>
      </c>
      <c r="D522" s="25" t="str">
        <f>VLOOKUP(C522,TB_FNX_TIPO_RESOURCE_BUNDLE!$A$7:$B$28,2,FALSE)</f>
        <v>Rótulo de entrada de texto</v>
      </c>
      <c r="E522" s="2" t="s">
        <v>2157</v>
      </c>
      <c r="F522" s="2" t="s">
        <v>2156</v>
      </c>
      <c r="H522" s="25" t="str">
        <f t="shared" si="25"/>
        <v>#{msg['LBL_PC_ARQUIVOS_PC_TEC.label']}</v>
      </c>
      <c r="I522" s="25" t="str">
        <f t="shared" si="26"/>
        <v>#{msg['LBL_PC_ARQUIVOS_PC_TEC.hint']}</v>
      </c>
    </row>
    <row r="523" spans="1:9" x14ac:dyDescent="0.25">
      <c r="A523" s="25">
        <f t="shared" si="24"/>
        <v>517</v>
      </c>
      <c r="C523" s="25">
        <v>4</v>
      </c>
      <c r="D523" s="25" t="str">
        <f>VLOOKUP(C523,TB_FNX_TIPO_RESOURCE_BUNDLE!$A$7:$B$28,2,FALSE)</f>
        <v>Rótulo de entrada de texto</v>
      </c>
      <c r="E523" s="2" t="s">
        <v>2158</v>
      </c>
      <c r="F523" s="2" t="s">
        <v>2159</v>
      </c>
      <c r="H523" s="25" t="str">
        <f t="shared" si="25"/>
        <v>#{msg['LBL_PC_TITULO.label']}</v>
      </c>
      <c r="I523" s="25" t="str">
        <f t="shared" si="26"/>
        <v>#{msg['LBL_PC_TITULO.hint']}</v>
      </c>
    </row>
    <row r="524" spans="1:9" x14ac:dyDescent="0.25">
      <c r="A524" s="25">
        <f t="shared" si="24"/>
        <v>518</v>
      </c>
      <c r="C524" s="25">
        <v>4</v>
      </c>
      <c r="D524" s="25" t="str">
        <f>VLOOKUP(C524,TB_FNX_TIPO_RESOURCE_BUNDLE!$A$7:$B$28,2,FALSE)</f>
        <v>Rótulo de entrada de texto</v>
      </c>
      <c r="E524" s="2" t="s">
        <v>2160</v>
      </c>
      <c r="F524" s="2" t="s">
        <v>2161</v>
      </c>
      <c r="H524" s="25" t="str">
        <f t="shared" si="25"/>
        <v>#{msg['LBL_PC_ARQUIVO.label']}</v>
      </c>
      <c r="I524" s="25" t="str">
        <f t="shared" si="26"/>
        <v>#{msg['LBL_PC_ARQUIVO.hint']}</v>
      </c>
    </row>
    <row r="525" spans="1:9" x14ac:dyDescent="0.25">
      <c r="A525" s="25">
        <f t="shared" si="24"/>
        <v>519</v>
      </c>
      <c r="B525" s="25"/>
      <c r="C525" s="25">
        <v>4</v>
      </c>
      <c r="D525" s="25" t="str">
        <f>VLOOKUP(C525,TB_FNX_TIPO_RESOURCE_BUNDLE!$A$7:$B$28,2,FALSE)</f>
        <v>Rótulo de entrada de texto</v>
      </c>
      <c r="E525" s="25" t="s">
        <v>2190</v>
      </c>
      <c r="F525" s="25" t="s">
        <v>2191</v>
      </c>
      <c r="G525" s="25" t="s">
        <v>2191</v>
      </c>
      <c r="H525" s="25" t="str">
        <f t="shared" si="25"/>
        <v>#{msg['LBL_PROJ_DISPONIVEIS.label']}</v>
      </c>
      <c r="I525" s="25" t="str">
        <f t="shared" si="26"/>
        <v>#{msg['LBL_PROJ_DISPONIVEIS.hint']}</v>
      </c>
    </row>
    <row r="526" spans="1:9" x14ac:dyDescent="0.25">
      <c r="A526" s="25">
        <f t="shared" si="24"/>
        <v>520</v>
      </c>
      <c r="C526" s="25">
        <v>4</v>
      </c>
      <c r="D526" s="25" t="str">
        <f>VLOOKUP(C526,TB_FNX_TIPO_RESOURCE_BUNDLE!$A$7:$B$28,2,FALSE)</f>
        <v>Rótulo de entrada de texto</v>
      </c>
      <c r="E526" s="2" t="s">
        <v>2208</v>
      </c>
      <c r="F526" s="2" t="s">
        <v>2213</v>
      </c>
      <c r="G526" s="25"/>
      <c r="H526" s="25" t="str">
        <f t="shared" si="25"/>
        <v>#{msg['LBL_SLD_INF_ANEXO.label']}</v>
      </c>
      <c r="I526" s="25" t="str">
        <f t="shared" si="26"/>
        <v>#{msg['LBL_SLD_INF_ANEXO.hint']}</v>
      </c>
    </row>
    <row r="527" spans="1:9" x14ac:dyDescent="0.25">
      <c r="A527" s="25">
        <f t="shared" si="24"/>
        <v>521</v>
      </c>
      <c r="C527" s="25">
        <v>1</v>
      </c>
      <c r="D527" s="25" t="str">
        <f>VLOOKUP(C527,TB_FNX_TIPO_RESOURCE_BUNDLE!$A$7:$B$28,2,FALSE)</f>
        <v>Botão</v>
      </c>
      <c r="E527" s="2" t="s">
        <v>2209</v>
      </c>
      <c r="F527" s="2" t="s">
        <v>2216</v>
      </c>
      <c r="G527" s="25" t="s">
        <v>2214</v>
      </c>
      <c r="H527" s="25" t="str">
        <f t="shared" si="25"/>
        <v>#{msg['CMD_SLD_INCLUIR_ARQUIVO.label']}</v>
      </c>
      <c r="I527" s="25" t="str">
        <f t="shared" si="26"/>
        <v>#{msg['CMD_SLD_INCLUIR_ARQUIVO.hint']}</v>
      </c>
    </row>
    <row r="528" spans="1:9" x14ac:dyDescent="0.25">
      <c r="A528" s="25">
        <f t="shared" si="24"/>
        <v>522</v>
      </c>
      <c r="C528" s="25">
        <v>1</v>
      </c>
      <c r="D528" s="25" t="str">
        <f>VLOOKUP(C528,TB_FNX_TIPO_RESOURCE_BUNDLE!$A$7:$B$28,2,FALSE)</f>
        <v>Botão</v>
      </c>
      <c r="E528" s="2" t="s">
        <v>2202</v>
      </c>
      <c r="F528" s="2" t="s">
        <v>143</v>
      </c>
      <c r="G528" s="25" t="s">
        <v>2205</v>
      </c>
      <c r="H528" s="25" t="str">
        <f t="shared" si="25"/>
        <v>#{msg['CMD_SLD_EXCLUIR_ARQUIVO.label']}</v>
      </c>
      <c r="I528" s="25" t="str">
        <f t="shared" si="26"/>
        <v>#{msg['CMD_SLD_EXCLUIR_ARQUIVO.hint']}</v>
      </c>
    </row>
    <row r="529" spans="1:9" x14ac:dyDescent="0.25">
      <c r="A529" s="25">
        <f t="shared" si="24"/>
        <v>523</v>
      </c>
      <c r="C529" s="25">
        <v>1</v>
      </c>
      <c r="D529" s="25" t="str">
        <f>VLOOKUP(C529,TB_FNX_TIPO_RESOURCE_BUNDLE!$A$7:$B$28,2,FALSE)</f>
        <v>Botão</v>
      </c>
      <c r="E529" s="2" t="s">
        <v>2210</v>
      </c>
      <c r="F529" s="2" t="s">
        <v>1355</v>
      </c>
      <c r="G529" s="25" t="s">
        <v>2204</v>
      </c>
      <c r="H529" s="25" t="str">
        <f t="shared" si="25"/>
        <v>#{msg['CMD_SLD_VISUALIZAR_ARQ.label']}</v>
      </c>
      <c r="I529" s="25" t="str">
        <f t="shared" si="26"/>
        <v>#{msg['CMD_SLD_VISUALIZAR_ARQ.hint']}</v>
      </c>
    </row>
    <row r="530" spans="1:9" x14ac:dyDescent="0.25">
      <c r="A530" s="25">
        <f t="shared" si="24"/>
        <v>524</v>
      </c>
      <c r="C530" s="25">
        <v>4</v>
      </c>
      <c r="D530" s="25" t="str">
        <f>VLOOKUP(C530,TB_FNX_TIPO_RESOURCE_BUNDLE!$A$7:$B$28,2,FALSE)</f>
        <v>Rótulo de entrada de texto</v>
      </c>
      <c r="E530" s="2" t="s">
        <v>2211</v>
      </c>
      <c r="F530" s="2" t="s">
        <v>2215</v>
      </c>
      <c r="G530" s="25"/>
      <c r="H530" s="25" t="str">
        <f t="shared" si="25"/>
        <v>#{msg['LBL_SLD_ARQUIVOS.label']}</v>
      </c>
      <c r="I530" s="25" t="str">
        <f t="shared" si="26"/>
        <v>#{msg['LBL_SLD_ARQUIVOS.hint']}</v>
      </c>
    </row>
    <row r="531" spans="1:9" x14ac:dyDescent="0.25">
      <c r="A531" s="25">
        <f t="shared" si="24"/>
        <v>525</v>
      </c>
      <c r="C531" s="25">
        <v>4</v>
      </c>
      <c r="D531" s="25" t="str">
        <f>VLOOKUP(C531,TB_FNX_TIPO_RESOURCE_BUNDLE!$A$7:$B$28,2,FALSE)</f>
        <v>Rótulo de entrada de texto</v>
      </c>
      <c r="E531" s="2" t="s">
        <v>2212</v>
      </c>
      <c r="F531" s="2" t="s">
        <v>2159</v>
      </c>
      <c r="G531" s="25" t="s">
        <v>2220</v>
      </c>
      <c r="H531" s="25" t="str">
        <f t="shared" si="25"/>
        <v>#{msg['LBL_SLD_TITULO.label']}</v>
      </c>
      <c r="I531" s="25" t="str">
        <f t="shared" si="26"/>
        <v>#{msg['LBL_SLD_TITULO.hint']}</v>
      </c>
    </row>
    <row r="532" spans="1:9" x14ac:dyDescent="0.25">
      <c r="A532" s="25">
        <f t="shared" si="24"/>
        <v>526</v>
      </c>
      <c r="C532" s="25">
        <v>4</v>
      </c>
      <c r="D532" s="25" t="str">
        <f>VLOOKUP(C532,TB_FNX_TIPO_RESOURCE_BUNDLE!$A$7:$B$28,2,FALSE)</f>
        <v>Rótulo de entrada de texto</v>
      </c>
      <c r="E532" s="2" t="s">
        <v>2217</v>
      </c>
      <c r="F532" s="2" t="s">
        <v>2161</v>
      </c>
      <c r="G532" s="25" t="s">
        <v>2219</v>
      </c>
      <c r="H532" s="25" t="str">
        <f t="shared" si="25"/>
        <v>#{msg['LBL_SLD_ARQUIVO.label']}</v>
      </c>
      <c r="I532" s="25" t="str">
        <f t="shared" si="26"/>
        <v>#{msg['LBL_SLD_ARQUIVO.hint']}</v>
      </c>
    </row>
    <row r="533" spans="1:9" x14ac:dyDescent="0.25">
      <c r="A533" s="25">
        <f t="shared" si="24"/>
        <v>527</v>
      </c>
      <c r="B533" s="25"/>
      <c r="C533" s="25">
        <v>4</v>
      </c>
      <c r="D533" s="25" t="str">
        <f>VLOOKUP(C533,TB_FNX_TIPO_RESOURCE_BUNDLE!$A$7:$B$28,2,FALSE)</f>
        <v>Rótulo de entrada de texto</v>
      </c>
      <c r="E533" s="2" t="s">
        <v>2221</v>
      </c>
      <c r="F533" s="2" t="s">
        <v>2222</v>
      </c>
      <c r="G533" s="4" t="s">
        <v>2222</v>
      </c>
      <c r="H533" s="25" t="str">
        <f t="shared" si="25"/>
        <v>#{msg['LBL_SALDO_CONVENIO.label']}</v>
      </c>
      <c r="I533" s="25" t="str">
        <f t="shared" si="26"/>
        <v>#{msg['LBL_SALDO_CONVENIO.hint']}</v>
      </c>
    </row>
    <row r="534" spans="1:9" x14ac:dyDescent="0.25">
      <c r="A534" s="25">
        <f t="shared" si="24"/>
        <v>528</v>
      </c>
      <c r="B534" s="25"/>
      <c r="C534" s="25">
        <v>4</v>
      </c>
      <c r="D534" s="25" t="str">
        <f>VLOOKUP(C534,TB_FNX_TIPO_RESOURCE_BUNDLE!$A$7:$B$28,2,FALSE)</f>
        <v>Rótulo de entrada de texto</v>
      </c>
      <c r="E534" s="2" t="s">
        <v>2228</v>
      </c>
      <c r="F534" s="2" t="s">
        <v>2223</v>
      </c>
      <c r="G534" s="25" t="s">
        <v>2223</v>
      </c>
      <c r="H534" s="25" t="str">
        <f t="shared" si="25"/>
        <v>#{msg['LBL_SLD_CC.label']}</v>
      </c>
      <c r="I534" s="25" t="str">
        <f t="shared" si="26"/>
        <v>#{msg['LBL_SLD_CC.hint']}</v>
      </c>
    </row>
    <row r="535" spans="1:9" x14ac:dyDescent="0.25">
      <c r="A535" s="25">
        <f t="shared" si="24"/>
        <v>529</v>
      </c>
      <c r="B535" s="25"/>
      <c r="C535" s="25">
        <v>4</v>
      </c>
      <c r="D535" s="25" t="str">
        <f>VLOOKUP(C535,TB_FNX_TIPO_RESOURCE_BUNDLE!$A$7:$B$28,2,FALSE)</f>
        <v>Rótulo de entrada de texto</v>
      </c>
      <c r="E535" s="2" t="s">
        <v>2229</v>
      </c>
      <c r="F535" s="2" t="s">
        <v>2224</v>
      </c>
      <c r="G535" s="25" t="s">
        <v>2224</v>
      </c>
      <c r="H535" s="25" t="str">
        <f t="shared" si="25"/>
        <v>#{msg['LBL_SLD_APLIC_FINANC.label']}</v>
      </c>
      <c r="I535" s="25" t="str">
        <f t="shared" si="26"/>
        <v>#{msg['LBL_SLD_APLIC_FINANC.hint']}</v>
      </c>
    </row>
    <row r="536" spans="1:9" x14ac:dyDescent="0.25">
      <c r="A536" s="25">
        <f t="shared" si="24"/>
        <v>530</v>
      </c>
      <c r="B536" s="25"/>
      <c r="C536" s="25">
        <v>4</v>
      </c>
      <c r="D536" s="25" t="str">
        <f>VLOOKUP(C536,TB_FNX_TIPO_RESOURCE_BUNDLE!$A$7:$B$28,2,FALSE)</f>
        <v>Rótulo de entrada de texto</v>
      </c>
      <c r="E536" s="2" t="s">
        <v>2230</v>
      </c>
      <c r="F536" s="2" t="s">
        <v>2225</v>
      </c>
      <c r="G536" s="25" t="s">
        <v>2225</v>
      </c>
      <c r="H536" s="25" t="str">
        <f t="shared" si="25"/>
        <v>#{msg['LBL_SLD_FUNDO_FIXO.label']}</v>
      </c>
      <c r="I536" s="25" t="str">
        <f t="shared" si="26"/>
        <v>#{msg['LBL_SLD_FUNDO_FIXO.hint']}</v>
      </c>
    </row>
    <row r="537" spans="1:9" x14ac:dyDescent="0.25">
      <c r="A537" s="25">
        <f t="shared" si="24"/>
        <v>531</v>
      </c>
      <c r="B537" s="25"/>
      <c r="C537" s="25">
        <v>4</v>
      </c>
      <c r="D537" s="25" t="str">
        <f>VLOOKUP(C537,TB_FNX_TIPO_RESOURCE_BUNDLE!$A$7:$B$28,2,FALSE)</f>
        <v>Rótulo de entrada de texto</v>
      </c>
      <c r="E537" s="2" t="s">
        <v>2231</v>
      </c>
      <c r="F537" s="2" t="s">
        <v>2226</v>
      </c>
      <c r="G537" s="25" t="s">
        <v>2226</v>
      </c>
      <c r="H537" s="25" t="str">
        <f t="shared" si="25"/>
        <v>#{msg['LBL_SLD_CALCULADO.label']}</v>
      </c>
      <c r="I537" s="25" t="str">
        <f t="shared" si="26"/>
        <v>#{msg['LBL_SLD_CALCULADO.hint']}</v>
      </c>
    </row>
    <row r="538" spans="1:9" x14ac:dyDescent="0.25">
      <c r="A538" s="25">
        <f t="shared" si="24"/>
        <v>532</v>
      </c>
      <c r="B538" s="25"/>
      <c r="C538" s="25">
        <v>4</v>
      </c>
      <c r="D538" s="25" t="str">
        <f>VLOOKUP(C538,TB_FNX_TIPO_RESOURCE_BUNDLE!$A$7:$B$28,2,FALSE)</f>
        <v>Rótulo de entrada de texto</v>
      </c>
      <c r="E538" s="2" t="s">
        <v>2232</v>
      </c>
      <c r="F538" s="2" t="s">
        <v>2227</v>
      </c>
      <c r="G538" s="25" t="s">
        <v>2227</v>
      </c>
      <c r="H538" s="25" t="str">
        <f t="shared" si="25"/>
        <v>#{msg['LBL_SLD_DT_SALDO.label']}</v>
      </c>
      <c r="I538" s="25" t="str">
        <f t="shared" si="26"/>
        <v>#{msg['LBL_SLD_DT_SALDO.hint']}</v>
      </c>
    </row>
    <row r="539" spans="1:9" x14ac:dyDescent="0.25">
      <c r="A539" s="25">
        <f t="shared" si="24"/>
        <v>533</v>
      </c>
      <c r="B539" s="25"/>
      <c r="C539" s="25">
        <v>4</v>
      </c>
      <c r="D539" s="25" t="str">
        <f>VLOOKUP(C539,TB_FNX_TIPO_RESOURCE_BUNDLE!$A$7:$B$28,2,FALSE)</f>
        <v>Rótulo de entrada de texto</v>
      </c>
      <c r="E539" s="2" t="s">
        <v>2253</v>
      </c>
      <c r="F539" s="2" t="s">
        <v>1523</v>
      </c>
      <c r="G539" s="4" t="s">
        <v>1523</v>
      </c>
      <c r="H539" s="25" t="str">
        <f t="shared" si="25"/>
        <v>#{msg['LBL_AC_INCLUIR.label']}</v>
      </c>
      <c r="I539" s="25" t="str">
        <f t="shared" si="26"/>
        <v>#{msg['LBL_AC_INCLUIR.hint']}</v>
      </c>
    </row>
    <row r="540" spans="1:9" x14ac:dyDescent="0.25">
      <c r="A540" s="25">
        <f t="shared" si="24"/>
        <v>534</v>
      </c>
      <c r="B540" s="25"/>
      <c r="C540" s="25">
        <v>4</v>
      </c>
      <c r="D540" s="25" t="str">
        <f>VLOOKUP(C540,TB_FNX_TIPO_RESOURCE_BUNDLE!$A$7:$B$28,2,FALSE)</f>
        <v>Rótulo de entrada de texto</v>
      </c>
      <c r="E540" s="2" t="s">
        <v>2255</v>
      </c>
      <c r="F540" s="2" t="s">
        <v>2254</v>
      </c>
      <c r="G540" s="4" t="s">
        <v>2254</v>
      </c>
      <c r="H540" s="25" t="str">
        <f t="shared" si="25"/>
        <v>#{msg['LBL_AC_EVENTO_INCLUIR.label']}</v>
      </c>
      <c r="I540" s="25" t="str">
        <f t="shared" si="26"/>
        <v>#{msg['LBL_AC_EVENTO_INCLUIR.hint']}</v>
      </c>
    </row>
    <row r="541" spans="1:9" x14ac:dyDescent="0.2">
      <c r="A541" s="25">
        <f t="shared" si="24"/>
        <v>535</v>
      </c>
      <c r="C541" s="2">
        <v>1</v>
      </c>
      <c r="D541" s="25" t="str">
        <f>VLOOKUP(C541,TB_FNX_TIPO_RESOURCE_BUNDLE!$A$7:$B$28,2,FALSE)</f>
        <v>Botão</v>
      </c>
      <c r="E541" s="30" t="s">
        <v>2311</v>
      </c>
      <c r="F541" s="30" t="s">
        <v>915</v>
      </c>
      <c r="G541" s="30" t="s">
        <v>2301</v>
      </c>
      <c r="H541" s="25" t="str">
        <f t="shared" si="25"/>
        <v>#{msg['CMD_SLD_ENVIAR_ARQ.label']}</v>
      </c>
      <c r="I541" s="25" t="str">
        <f t="shared" si="26"/>
        <v>#{msg['CMD_SLD_ENVIAR_ARQ.hint']}</v>
      </c>
    </row>
    <row r="542" spans="1:9" x14ac:dyDescent="0.2">
      <c r="A542" s="25">
        <f t="shared" si="24"/>
        <v>536</v>
      </c>
      <c r="C542" s="2">
        <v>4</v>
      </c>
      <c r="D542" s="25" t="str">
        <f>VLOOKUP(C542,TB_FNX_TIPO_RESOURCE_BUNDLE!$A$7:$B$28,2,FALSE)</f>
        <v>Rótulo de entrada de texto</v>
      </c>
      <c r="E542" s="30" t="s">
        <v>2309</v>
      </c>
      <c r="F542" s="30" t="s">
        <v>2302</v>
      </c>
      <c r="H542" s="25" t="str">
        <f t="shared" si="25"/>
        <v>#{msg['LBL_SLD_ANEXAR_ARQ.label']}</v>
      </c>
      <c r="I542" s="25" t="str">
        <f t="shared" si="26"/>
        <v>#{msg['LBL_SLD_ANEXAR_ARQ.hint']}</v>
      </c>
    </row>
    <row r="543" spans="1:9" x14ac:dyDescent="0.2">
      <c r="A543" s="25">
        <f t="shared" si="24"/>
        <v>537</v>
      </c>
      <c r="C543" s="25">
        <v>4</v>
      </c>
      <c r="D543" s="25" t="str">
        <f>VLOOKUP(C543,TB_FNX_TIPO_RESOURCE_BUNDLE!$A$7:$B$28,2,FALSE)</f>
        <v>Rótulo de entrada de texto</v>
      </c>
      <c r="E543" s="30" t="s">
        <v>2308</v>
      </c>
      <c r="F543" s="30" t="s">
        <v>1312</v>
      </c>
      <c r="H543" s="25" t="str">
        <f t="shared" si="25"/>
        <v>#{msg['LBL_PC_CHECAR_PEND.label']}</v>
      </c>
      <c r="I543" s="25" t="str">
        <f t="shared" si="26"/>
        <v>#{msg['LBL_PC_CHECAR_PEND.hint']}</v>
      </c>
    </row>
    <row r="544" spans="1:9" x14ac:dyDescent="0.2">
      <c r="A544" s="25">
        <f t="shared" si="24"/>
        <v>538</v>
      </c>
      <c r="C544" s="25">
        <v>4</v>
      </c>
      <c r="D544" s="25" t="str">
        <f>VLOOKUP(C544,TB_FNX_TIPO_RESOURCE_BUNDLE!$A$7:$B$28,2,FALSE)</f>
        <v>Rótulo de entrada de texto</v>
      </c>
      <c r="E544" s="30" t="s">
        <v>2307</v>
      </c>
      <c r="F544" s="30" t="s">
        <v>2303</v>
      </c>
      <c r="H544" s="25" t="str">
        <f t="shared" si="25"/>
        <v>#{msg['LBL_PENDENCIAS.label']}</v>
      </c>
      <c r="I544" s="25" t="str">
        <f t="shared" si="26"/>
        <v>#{msg['LBL_PENDENCIAS.hint']}</v>
      </c>
    </row>
    <row r="545" spans="1:9" x14ac:dyDescent="0.2">
      <c r="A545" s="25">
        <f t="shared" si="24"/>
        <v>539</v>
      </c>
      <c r="C545" s="25">
        <v>4</v>
      </c>
      <c r="D545" s="25" t="str">
        <f>VLOOKUP(C545,TB_FNX_TIPO_RESOURCE_BUNDLE!$A$7:$B$28,2,FALSE)</f>
        <v>Rótulo de entrada de texto</v>
      </c>
      <c r="E545" s="30" t="s">
        <v>2306</v>
      </c>
      <c r="F545" s="30" t="s">
        <v>699</v>
      </c>
      <c r="G545" s="30" t="s">
        <v>700</v>
      </c>
      <c r="H545" s="25" t="str">
        <f t="shared" si="25"/>
        <v>#{msg['LBL_PC_PEND_DESCRICAO.label']}</v>
      </c>
      <c r="I545" s="25" t="str">
        <f t="shared" si="26"/>
        <v>#{msg['LBL_PC_PEND_DESCRICAO.hint']}</v>
      </c>
    </row>
    <row r="546" spans="1:9" x14ac:dyDescent="0.2">
      <c r="A546" s="25">
        <f t="shared" si="24"/>
        <v>540</v>
      </c>
      <c r="C546" s="25">
        <v>4</v>
      </c>
      <c r="D546" s="25" t="str">
        <f>VLOOKUP(C546,TB_FNX_TIPO_RESOURCE_BUNDLE!$A$7:$B$28,2,FALSE)</f>
        <v>Rótulo de entrada de texto</v>
      </c>
      <c r="E546" s="2" t="s">
        <v>2305</v>
      </c>
      <c r="F546" s="30" t="s">
        <v>1741</v>
      </c>
      <c r="G546" s="30" t="s">
        <v>2304</v>
      </c>
      <c r="H546" s="25" t="str">
        <f t="shared" si="25"/>
        <v>#{msg['LBL_PC_IMPEDIMENTO_ENV.label']}</v>
      </c>
      <c r="I546" s="25" t="str">
        <f t="shared" si="26"/>
        <v>#{msg['LBL_PC_IMPEDIMENTO_ENV.hint']}</v>
      </c>
    </row>
    <row r="547" spans="1:9" x14ac:dyDescent="0.25">
      <c r="A547" s="25">
        <f t="shared" si="24"/>
        <v>541</v>
      </c>
      <c r="C547" s="2">
        <v>4</v>
      </c>
      <c r="D547" s="25" t="str">
        <f>VLOOKUP(C547,TB_FNX_TIPO_RESOURCE_BUNDLE!$A$7:$B$28,2,FALSE)</f>
        <v>Rótulo de entrada de texto</v>
      </c>
      <c r="E547" s="2" t="s">
        <v>2313</v>
      </c>
      <c r="F547" s="2" t="s">
        <v>2314</v>
      </c>
      <c r="H547" s="25" t="str">
        <f t="shared" si="25"/>
        <v>#{msg['LBL_ESTRATEGIA.label']}</v>
      </c>
      <c r="I547" s="25" t="str">
        <f t="shared" si="26"/>
        <v>#{msg['LBL_ESTRATEGIA.hint']}</v>
      </c>
    </row>
    <row r="548" spans="1:9" x14ac:dyDescent="0.25">
      <c r="A548" s="25">
        <f t="shared" si="24"/>
        <v>542</v>
      </c>
      <c r="C548" s="25">
        <v>1</v>
      </c>
      <c r="D548" s="25" t="str">
        <f>VLOOKUP(C548,TB_FNX_TIPO_RESOURCE_BUNDLE!$A$7:$B$28,2,FALSE)</f>
        <v>Botão</v>
      </c>
      <c r="E548" s="2" t="s">
        <v>2333</v>
      </c>
      <c r="F548" s="2" t="s">
        <v>2325</v>
      </c>
      <c r="H548" s="25" t="str">
        <f t="shared" si="25"/>
        <v>#{msg['CMD_ASSOCIAR_VERTICAL.label']}</v>
      </c>
      <c r="I548" s="25" t="str">
        <f t="shared" si="26"/>
        <v>#{msg['CMD_ASSOCIAR_VERTICAL.hint']}</v>
      </c>
    </row>
    <row r="549" spans="1:9" x14ac:dyDescent="0.25">
      <c r="A549" s="25">
        <f t="shared" si="24"/>
        <v>543</v>
      </c>
      <c r="C549" s="25">
        <v>1</v>
      </c>
      <c r="D549" s="25" t="str">
        <f>VLOOKUP(C549,TB_FNX_TIPO_RESOURCE_BUNDLE!$A$7:$B$28,2,FALSE)</f>
        <v>Botão</v>
      </c>
      <c r="E549" s="2" t="s">
        <v>2332</v>
      </c>
      <c r="F549" s="10" t="s">
        <v>2326</v>
      </c>
      <c r="H549" s="25" t="str">
        <f t="shared" si="25"/>
        <v>#{msg['CMD_CADASTRAR_VERTICAL.label']}</v>
      </c>
      <c r="I549" s="25" t="str">
        <f t="shared" si="26"/>
        <v>#{msg['CMD_CADASTRAR_VERTICAL.hint']}</v>
      </c>
    </row>
    <row r="550" spans="1:9" x14ac:dyDescent="0.25">
      <c r="A550" s="25">
        <f t="shared" si="24"/>
        <v>544</v>
      </c>
      <c r="C550" s="25">
        <v>1</v>
      </c>
      <c r="D550" s="25" t="str">
        <f>VLOOKUP(C550,TB_FNX_TIPO_RESOURCE_BUNDLE!$A$7:$B$28,2,FALSE)</f>
        <v>Botão</v>
      </c>
      <c r="E550" s="2" t="s">
        <v>2334</v>
      </c>
      <c r="F550" s="2" t="s">
        <v>2327</v>
      </c>
      <c r="H550" s="25" t="str">
        <f t="shared" si="25"/>
        <v>#{msg['CMD_EDITAR_VERTICAL.label']}</v>
      </c>
      <c r="I550" s="25" t="str">
        <f t="shared" si="26"/>
        <v>#{msg['CMD_EDITAR_VERTICAL.hint']}</v>
      </c>
    </row>
    <row r="551" spans="1:9" x14ac:dyDescent="0.25">
      <c r="A551" s="25">
        <f t="shared" si="24"/>
        <v>545</v>
      </c>
      <c r="C551" s="25">
        <v>4</v>
      </c>
      <c r="D551" s="25" t="str">
        <f>VLOOKUP(C551,TB_FNX_TIPO_RESOURCE_BUNDLE!$A$7:$B$28,2,FALSE)</f>
        <v>Rótulo de entrada de texto</v>
      </c>
      <c r="E551" s="2" t="s">
        <v>2328</v>
      </c>
      <c r="F551" s="2" t="s">
        <v>2329</v>
      </c>
      <c r="G551" s="4" t="s">
        <v>1517</v>
      </c>
      <c r="H551" s="25" t="str">
        <f t="shared" si="25"/>
        <v>#{msg['LBL_VERTICAIS.label']}</v>
      </c>
      <c r="I551" s="25" t="str">
        <f t="shared" si="26"/>
        <v>#{msg['LBL_VERTICAIS.hint']}</v>
      </c>
    </row>
    <row r="552" spans="1:9" x14ac:dyDescent="0.25">
      <c r="A552" s="25">
        <f t="shared" si="24"/>
        <v>546</v>
      </c>
      <c r="C552" s="25">
        <v>1</v>
      </c>
      <c r="D552" s="25" t="str">
        <f>VLOOKUP(C552,TB_FNX_TIPO_RESOURCE_BUNDLE!$A$7:$B$28,2,FALSE)</f>
        <v>Botão</v>
      </c>
      <c r="E552" s="2" t="s">
        <v>2330</v>
      </c>
      <c r="F552" s="2" t="s">
        <v>162</v>
      </c>
      <c r="H552" s="25" t="str">
        <f t="shared" si="25"/>
        <v>#{msg['CMD_GRAVAR_VERTICAL.label']}</v>
      </c>
      <c r="I552" s="25" t="str">
        <f t="shared" si="26"/>
        <v>#{msg['CMD_GRAVAR_VERTICAL.hint']}</v>
      </c>
    </row>
    <row r="553" spans="1:9" x14ac:dyDescent="0.25">
      <c r="A553" s="25">
        <f t="shared" si="24"/>
        <v>547</v>
      </c>
      <c r="C553" s="25">
        <v>1</v>
      </c>
      <c r="D553" s="25" t="str">
        <f>VLOOKUP(C553,TB_FNX_TIPO_RESOURCE_BUNDLE!$A$7:$B$28,2,FALSE)</f>
        <v>Botão</v>
      </c>
      <c r="E553" s="2" t="s">
        <v>2331</v>
      </c>
      <c r="F553" s="2" t="s">
        <v>165</v>
      </c>
      <c r="H553" s="25" t="str">
        <f t="shared" si="25"/>
        <v>#{msg['CMD_FECHAR_VERTICAL.label']}</v>
      </c>
      <c r="I553" s="25" t="str">
        <f t="shared" si="26"/>
        <v>#{msg['CMD_FECHAR_VERTICAL.hint']}</v>
      </c>
    </row>
    <row r="554" spans="1:9" x14ac:dyDescent="0.25">
      <c r="A554" s="25">
        <f t="shared" si="24"/>
        <v>548</v>
      </c>
      <c r="C554" s="25">
        <v>4</v>
      </c>
      <c r="D554" s="25" t="str">
        <f>VLOOKUP(C554,TB_FNX_TIPO_RESOURCE_BUNDLE!$A$7:$B$28,2,FALSE)</f>
        <v>Rótulo de entrada de texto</v>
      </c>
      <c r="E554" s="2" t="s">
        <v>2335</v>
      </c>
      <c r="F554" s="2" t="s">
        <v>2337</v>
      </c>
      <c r="G554" s="4" t="s">
        <v>2338</v>
      </c>
      <c r="H554" s="25" t="str">
        <f t="shared" si="25"/>
        <v>#{msg['LBL_NM_VERTICAL.label']}</v>
      </c>
      <c r="I554" s="25" t="str">
        <f t="shared" si="26"/>
        <v>#{msg['LBL_NM_VERTICAL.hint']}</v>
      </c>
    </row>
    <row r="555" spans="1:9" x14ac:dyDescent="0.25">
      <c r="A555" s="25">
        <f t="shared" si="24"/>
        <v>549</v>
      </c>
      <c r="C555" s="25">
        <v>4</v>
      </c>
      <c r="D555" s="25" t="str">
        <f>VLOOKUP(C555,TB_FNX_TIPO_RESOURCE_BUNDLE!$A$7:$B$28,2,FALSE)</f>
        <v>Rótulo de entrada de texto</v>
      </c>
      <c r="E555" s="2" t="s">
        <v>2336</v>
      </c>
      <c r="F555" s="2" t="s">
        <v>699</v>
      </c>
      <c r="G555" s="4" t="s">
        <v>2339</v>
      </c>
      <c r="H555" s="25" t="str">
        <f t="shared" si="25"/>
        <v>#{msg['LBL_DS_VERTICAL.label']}</v>
      </c>
      <c r="I555" s="25" t="str">
        <f t="shared" si="26"/>
        <v>#{msg['LBL_DS_VERTICAL.hint']}</v>
      </c>
    </row>
    <row r="556" spans="1:9" x14ac:dyDescent="0.25">
      <c r="A556" s="25">
        <f t="shared" si="24"/>
        <v>550</v>
      </c>
      <c r="C556" s="25">
        <v>4</v>
      </c>
      <c r="D556" s="25" t="str">
        <f>VLOOKUP(C556,TB_FNX_TIPO_RESOURCE_BUNDLE!$A$7:$B$28,2,FALSE)</f>
        <v>Rótulo de entrada de texto</v>
      </c>
      <c r="E556" s="2" t="s">
        <v>2340</v>
      </c>
      <c r="F556" s="2" t="s">
        <v>2341</v>
      </c>
      <c r="H556" s="25" t="str">
        <f t="shared" si="25"/>
        <v>#{msg['LBL_VERTICAIS_PROJETO.label']}</v>
      </c>
      <c r="I556" s="25" t="str">
        <f t="shared" si="26"/>
        <v>#{msg['LBL_VERTICAIS_PROJETO.hint']}</v>
      </c>
    </row>
    <row r="557" spans="1:9" x14ac:dyDescent="0.25">
      <c r="A557" s="25">
        <f t="shared" si="24"/>
        <v>551</v>
      </c>
      <c r="B557" s="2" t="s">
        <v>2343</v>
      </c>
      <c r="C557" s="2">
        <v>4</v>
      </c>
      <c r="D557" s="25" t="str">
        <f>VLOOKUP(C557,TB_FNX_TIPO_RESOURCE_BUNDLE!$A$7:$B$28,2,FALSE)</f>
        <v>Rótulo de entrada de texto</v>
      </c>
      <c r="E557" s="2" t="s">
        <v>2344</v>
      </c>
      <c r="F557" s="2" t="s">
        <v>2345</v>
      </c>
      <c r="G557" s="4" t="s">
        <v>2346</v>
      </c>
      <c r="H557" s="25" t="str">
        <f t="shared" si="25"/>
        <v>#{msg['LBL_MC_DET_GRUPO_CUSTEIO.label']}</v>
      </c>
      <c r="I557" s="25" t="str">
        <f t="shared" si="26"/>
        <v>#{msg['LBL_MC_DET_GRUPO_CUSTEIO.hint']}</v>
      </c>
    </row>
    <row r="558" spans="1:9" x14ac:dyDescent="0.25">
      <c r="A558" s="25">
        <f t="shared" si="24"/>
        <v>552</v>
      </c>
      <c r="B558" s="25" t="s">
        <v>2343</v>
      </c>
      <c r="C558" s="25">
        <v>4</v>
      </c>
      <c r="D558" s="25" t="str">
        <f>VLOOKUP(C558,TB_FNX_TIPO_RESOURCE_BUNDLE!$A$7:$B$28,2,FALSE)</f>
        <v>Rótulo de entrada de texto</v>
      </c>
      <c r="E558" s="25" t="s">
        <v>2347</v>
      </c>
      <c r="F558" s="2" t="s">
        <v>2348</v>
      </c>
      <c r="G558" s="4" t="s">
        <v>2349</v>
      </c>
      <c r="H558" s="25" t="str">
        <f t="shared" si="25"/>
        <v>#{msg['LBL_MC_DET_ITEM_CUSTEIO.label']}</v>
      </c>
      <c r="I558" s="25" t="str">
        <f t="shared" si="26"/>
        <v>#{msg['LBL_MC_DET_ITEM_CUSTEIO.hint']}</v>
      </c>
    </row>
    <row r="559" spans="1:9" ht="30" x14ac:dyDescent="0.25">
      <c r="A559" s="25">
        <f t="shared" si="24"/>
        <v>553</v>
      </c>
      <c r="B559" s="25" t="s">
        <v>2343</v>
      </c>
      <c r="C559" s="25">
        <v>1</v>
      </c>
      <c r="D559" s="25" t="str">
        <f>VLOOKUP(C559,TB_FNX_TIPO_RESOURCE_BUNDLE!$A$7:$B$28,2,FALSE)</f>
        <v>Botão</v>
      </c>
      <c r="E559" s="2" t="s">
        <v>2360</v>
      </c>
      <c r="F559" s="2" t="s">
        <v>2350</v>
      </c>
      <c r="G559" s="4" t="s">
        <v>2351</v>
      </c>
      <c r="H559" s="25" t="str">
        <f t="shared" si="25"/>
        <v>#{msg['CMD_MC_DET_NOVO_DET.label']}</v>
      </c>
      <c r="I559" s="25" t="str">
        <f t="shared" si="26"/>
        <v>#{msg['CMD_MC_DET_NOVO_DET.hint']}</v>
      </c>
    </row>
    <row r="560" spans="1:9" x14ac:dyDescent="0.25">
      <c r="A560" s="25">
        <f t="shared" si="24"/>
        <v>554</v>
      </c>
      <c r="B560" s="25" t="s">
        <v>2343</v>
      </c>
      <c r="C560" s="2">
        <v>4</v>
      </c>
      <c r="D560" s="25" t="str">
        <f>VLOOKUP(C560,TB_FNX_TIPO_RESOURCE_BUNDLE!$A$7:$B$28,2,FALSE)</f>
        <v>Rótulo de entrada de texto</v>
      </c>
      <c r="E560" s="2" t="s">
        <v>2352</v>
      </c>
      <c r="F560" s="2" t="s">
        <v>2353</v>
      </c>
      <c r="G560" s="4" t="s">
        <v>2354</v>
      </c>
      <c r="H560" s="25" t="str">
        <f t="shared" si="25"/>
        <v>#{msg['LBL_MC_DET_DETALHE_ITEM.label']}</v>
      </c>
      <c r="I560" s="25" t="str">
        <f t="shared" si="26"/>
        <v>#{msg['LBL_MC_DET_DETALHE_ITEM.hint']}</v>
      </c>
    </row>
    <row r="561" spans="1:9" x14ac:dyDescent="0.25">
      <c r="A561" s="25">
        <f t="shared" si="24"/>
        <v>555</v>
      </c>
      <c r="B561" s="25" t="s">
        <v>2343</v>
      </c>
      <c r="C561" s="2">
        <v>4</v>
      </c>
      <c r="D561" s="25" t="str">
        <f>VLOOKUP(C561,TB_FNX_TIPO_RESOURCE_BUNDLE!$A$7:$B$28,2,FALSE)</f>
        <v>Rótulo de entrada de texto</v>
      </c>
      <c r="E561" s="2" t="s">
        <v>2355</v>
      </c>
      <c r="F561" s="2" t="s">
        <v>2356</v>
      </c>
      <c r="G561" s="4" t="s">
        <v>2357</v>
      </c>
      <c r="H561" s="25" t="str">
        <f t="shared" si="25"/>
        <v>#{msg['LBL_MC_DET_DETALHE_NOME.label']}</v>
      </c>
      <c r="I561" s="25" t="str">
        <f t="shared" si="26"/>
        <v>#{msg['LBL_MC_DET_DETALHE_NOME.hint']}</v>
      </c>
    </row>
    <row r="562" spans="1:9" x14ac:dyDescent="0.25">
      <c r="A562" s="25">
        <f t="shared" si="24"/>
        <v>556</v>
      </c>
      <c r="B562" s="25" t="s">
        <v>2343</v>
      </c>
      <c r="C562" s="2">
        <v>4</v>
      </c>
      <c r="D562" s="25" t="str">
        <f>VLOOKUP(C562,TB_FNX_TIPO_RESOURCE_BUNDLE!$A$7:$B$28,2,FALSE)</f>
        <v>Rótulo de entrada de texto</v>
      </c>
      <c r="E562" s="25" t="s">
        <v>2358</v>
      </c>
      <c r="F562" s="2" t="s">
        <v>699</v>
      </c>
      <c r="G562" s="4" t="s">
        <v>2359</v>
      </c>
      <c r="H562" s="25" t="str">
        <f t="shared" si="25"/>
        <v>#{msg['LBL_MC_DET_DESCRICAO.label']}</v>
      </c>
      <c r="I562" s="25" t="str">
        <f t="shared" si="26"/>
        <v>#{msg['LBL_MC_DET_DESCRICAO.hint']}</v>
      </c>
    </row>
    <row r="563" spans="1:9" x14ac:dyDescent="0.25">
      <c r="A563" s="25">
        <f t="shared" si="24"/>
        <v>557</v>
      </c>
      <c r="B563" s="25" t="s">
        <v>2343</v>
      </c>
      <c r="C563" s="2">
        <v>1</v>
      </c>
      <c r="D563" s="25" t="str">
        <f>VLOOKUP(C563,TB_FNX_TIPO_RESOURCE_BUNDLE!$A$7:$B$28,2,FALSE)</f>
        <v>Botão</v>
      </c>
      <c r="E563" s="25" t="s">
        <v>2385</v>
      </c>
      <c r="F563" s="25" t="s">
        <v>2131</v>
      </c>
      <c r="G563" s="4" t="s">
        <v>2363</v>
      </c>
      <c r="H563" s="25" t="str">
        <f t="shared" si="25"/>
        <v>#{msg['CMD_MC_DET_TOTALIZAR.label']}</v>
      </c>
      <c r="I563" s="25" t="str">
        <f t="shared" si="26"/>
        <v>#{msg['CMD_MC_DET_TOTALIZAR.hint']}</v>
      </c>
    </row>
    <row r="564" spans="1:9" ht="30" x14ac:dyDescent="0.25">
      <c r="A564" s="25">
        <f t="shared" si="24"/>
        <v>558</v>
      </c>
      <c r="B564" s="25" t="s">
        <v>2343</v>
      </c>
      <c r="C564" s="2">
        <v>4</v>
      </c>
      <c r="D564" s="25" t="str">
        <f>VLOOKUP(C564,TB_FNX_TIPO_RESOURCE_BUNDLE!$A$7:$B$28,2,FALSE)</f>
        <v>Rótulo de entrada de texto</v>
      </c>
      <c r="E564" s="2" t="s">
        <v>2386</v>
      </c>
      <c r="F564" s="2" t="s">
        <v>2369</v>
      </c>
      <c r="G564" s="4" t="s">
        <v>2370</v>
      </c>
      <c r="H564" s="25" t="str">
        <f t="shared" si="25"/>
        <v>#{msg['LBL_MC_DET_MES_ANO.label']}</v>
      </c>
      <c r="I564" s="25" t="str">
        <f t="shared" si="26"/>
        <v>#{msg['LBL_MC_DET_MES_ANO.hint']}</v>
      </c>
    </row>
    <row r="565" spans="1:9" x14ac:dyDescent="0.25">
      <c r="A565" s="25">
        <f t="shared" si="24"/>
        <v>559</v>
      </c>
      <c r="B565" s="25" t="s">
        <v>2343</v>
      </c>
      <c r="C565" s="2">
        <v>4</v>
      </c>
      <c r="D565" s="25" t="str">
        <f>VLOOKUP(C565,TB_FNX_TIPO_RESOURCE_BUNDLE!$A$7:$B$28,2,FALSE)</f>
        <v>Rótulo de entrada de texto</v>
      </c>
      <c r="E565" s="2" t="s">
        <v>2387</v>
      </c>
      <c r="F565" s="2" t="s">
        <v>219</v>
      </c>
      <c r="G565" s="4" t="s">
        <v>2371</v>
      </c>
      <c r="H565" s="25" t="str">
        <f t="shared" si="25"/>
        <v>#{msg['LBL_MC_DET_UNIDADE.label']}</v>
      </c>
      <c r="I565" s="25" t="str">
        <f t="shared" si="26"/>
        <v>#{msg['LBL_MC_DET_UNIDADE.hint']}</v>
      </c>
    </row>
    <row r="566" spans="1:9" x14ac:dyDescent="0.25">
      <c r="A566" s="25">
        <f t="shared" si="24"/>
        <v>560</v>
      </c>
      <c r="B566" s="25" t="s">
        <v>2343</v>
      </c>
      <c r="C566" s="2">
        <v>4</v>
      </c>
      <c r="D566" s="25" t="str">
        <f>VLOOKUP(C566,TB_FNX_TIPO_RESOURCE_BUNDLE!$A$7:$B$28,2,FALSE)</f>
        <v>Rótulo de entrada de texto</v>
      </c>
      <c r="E566" s="2" t="s">
        <v>2388</v>
      </c>
      <c r="F566" s="2" t="s">
        <v>681</v>
      </c>
      <c r="G566" s="4" t="s">
        <v>2372</v>
      </c>
      <c r="H566" s="25" t="str">
        <f t="shared" si="25"/>
        <v>#{msg['LBL_MC_DET_QTDE_UN.label']}</v>
      </c>
      <c r="I566" s="25" t="str">
        <f t="shared" si="26"/>
        <v>#{msg['LBL_MC_DET_QTDE_UN.hint']}</v>
      </c>
    </row>
    <row r="567" spans="1:9" x14ac:dyDescent="0.25">
      <c r="A567" s="25">
        <f t="shared" si="24"/>
        <v>561</v>
      </c>
      <c r="B567" s="25" t="s">
        <v>2343</v>
      </c>
      <c r="C567" s="2">
        <v>4</v>
      </c>
      <c r="D567" s="25" t="str">
        <f>VLOOKUP(C567,TB_FNX_TIPO_RESOURCE_BUNDLE!$A$7:$B$28,2,FALSE)</f>
        <v>Rótulo de entrada de texto</v>
      </c>
      <c r="E567" s="2" t="s">
        <v>2389</v>
      </c>
      <c r="F567" s="2" t="s">
        <v>612</v>
      </c>
      <c r="G567" s="4" t="s">
        <v>2373</v>
      </c>
      <c r="H567" s="25" t="str">
        <f t="shared" si="25"/>
        <v>#{msg['LBL_MC_DET_MOEDA.label']}</v>
      </c>
      <c r="I567" s="25" t="str">
        <f t="shared" si="26"/>
        <v>#{msg['LBL_MC_DET_MOEDA.hint']}</v>
      </c>
    </row>
    <row r="568" spans="1:9" x14ac:dyDescent="0.25">
      <c r="A568" s="25">
        <f t="shared" si="24"/>
        <v>562</v>
      </c>
      <c r="B568" s="25" t="s">
        <v>2343</v>
      </c>
      <c r="C568" s="2">
        <v>4</v>
      </c>
      <c r="D568" s="25" t="str">
        <f>VLOOKUP(C568,TB_FNX_TIPO_RESOURCE_BUNDLE!$A$7:$B$28,2,FALSE)</f>
        <v>Rótulo de entrada de texto</v>
      </c>
      <c r="E568" s="2" t="s">
        <v>2390</v>
      </c>
      <c r="F568" s="2" t="s">
        <v>684</v>
      </c>
      <c r="G568" s="4" t="s">
        <v>2374</v>
      </c>
      <c r="H568" s="25" t="str">
        <f t="shared" si="25"/>
        <v>#{msg['LBL_MC_DET_VL_UNITARIO.label']}</v>
      </c>
      <c r="I568" s="25" t="str">
        <f t="shared" si="26"/>
        <v>#{msg['LBL_MC_DET_VL_UNITARIO.hint']}</v>
      </c>
    </row>
    <row r="569" spans="1:9" x14ac:dyDescent="0.25">
      <c r="A569" s="25">
        <f t="shared" si="24"/>
        <v>563</v>
      </c>
      <c r="B569" s="25" t="s">
        <v>2343</v>
      </c>
      <c r="C569" s="25">
        <v>4</v>
      </c>
      <c r="D569" s="25" t="str">
        <f>VLOOKUP(C569,TB_FNX_TIPO_RESOURCE_BUNDLE!$A$7:$B$28,2,FALSE)</f>
        <v>Rótulo de entrada de texto</v>
      </c>
      <c r="E569" s="25" t="s">
        <v>2391</v>
      </c>
      <c r="F569" s="25" t="s">
        <v>2376</v>
      </c>
      <c r="G569" s="26" t="s">
        <v>2377</v>
      </c>
      <c r="H569" s="25" t="str">
        <f t="shared" si="25"/>
        <v>#{msg['LBL_MC_DET_VL_PREVISTO.label']}</v>
      </c>
      <c r="I569" s="25" t="str">
        <f t="shared" si="26"/>
        <v>#{msg['LBL_MC_DET_VL_PREVISTO.hint']}</v>
      </c>
    </row>
    <row r="570" spans="1:9" x14ac:dyDescent="0.25">
      <c r="A570" s="25">
        <f t="shared" si="24"/>
        <v>564</v>
      </c>
      <c r="B570" s="25" t="s">
        <v>2343</v>
      </c>
      <c r="C570" s="25">
        <v>4</v>
      </c>
      <c r="D570" s="25" t="str">
        <f>VLOOKUP(C570,TB_FNX_TIPO_RESOURCE_BUNDLE!$A$7:$B$28,2,FALSE)</f>
        <v>Rótulo de entrada de texto</v>
      </c>
      <c r="E570" s="25" t="s">
        <v>2392</v>
      </c>
      <c r="F570" s="25" t="s">
        <v>2379</v>
      </c>
      <c r="G570" s="26" t="s">
        <v>2380</v>
      </c>
      <c r="H570" s="25" t="str">
        <f t="shared" si="25"/>
        <v>#{msg['LBL_MC_DET_VL_REALIZADO.label']}</v>
      </c>
      <c r="I570" s="25" t="str">
        <f t="shared" si="26"/>
        <v>#{msg['LBL_MC_DET_VL_REALIZADO.hint']}</v>
      </c>
    </row>
    <row r="571" spans="1:9" x14ac:dyDescent="0.25">
      <c r="A571" s="25">
        <f t="shared" si="24"/>
        <v>565</v>
      </c>
      <c r="B571" s="25" t="s">
        <v>2343</v>
      </c>
      <c r="C571" s="25">
        <v>1</v>
      </c>
      <c r="D571" s="25" t="str">
        <f>VLOOKUP(C571,TB_FNX_TIPO_RESOURCE_BUNDLE!$A$7:$B$28,2,FALSE)</f>
        <v>Botão</v>
      </c>
      <c r="E571" s="25" t="s">
        <v>2393</v>
      </c>
      <c r="F571" s="25" t="s">
        <v>708</v>
      </c>
      <c r="G571" s="26" t="s">
        <v>2381</v>
      </c>
      <c r="H571" s="25" t="str">
        <f t="shared" si="25"/>
        <v>#{msg['CMD_MC_DET_SALVAR.label']}</v>
      </c>
      <c r="I571" s="25" t="str">
        <f t="shared" si="26"/>
        <v>#{msg['CMD_MC_DET_SALVAR.hint']}</v>
      </c>
    </row>
    <row r="572" spans="1:9" x14ac:dyDescent="0.25">
      <c r="A572" s="25">
        <f t="shared" si="24"/>
        <v>566</v>
      </c>
      <c r="B572" s="25" t="s">
        <v>2343</v>
      </c>
      <c r="C572" s="25">
        <v>1</v>
      </c>
      <c r="D572" s="25" t="str">
        <f>VLOOKUP(C572,TB_FNX_TIPO_RESOURCE_BUNDLE!$A$7:$B$28,2,FALSE)</f>
        <v>Botão</v>
      </c>
      <c r="E572" s="25" t="s">
        <v>2394</v>
      </c>
      <c r="F572" s="25" t="s">
        <v>2382</v>
      </c>
      <c r="G572" s="26" t="s">
        <v>2383</v>
      </c>
      <c r="H572" s="25" t="str">
        <f t="shared" si="25"/>
        <v>#{msg['CMD_MC_DET_SALVAR_E_FECHAR.label']}</v>
      </c>
      <c r="I572" s="25" t="str">
        <f t="shared" si="26"/>
        <v>#{msg['CMD_MC_DET_SALVAR_E_FECHAR.hint']}</v>
      </c>
    </row>
    <row r="573" spans="1:9" x14ac:dyDescent="0.25">
      <c r="A573" s="25">
        <f t="shared" si="24"/>
        <v>567</v>
      </c>
      <c r="B573" s="25" t="s">
        <v>2343</v>
      </c>
      <c r="C573" s="25">
        <v>1</v>
      </c>
      <c r="D573" s="25" t="str">
        <f>VLOOKUP(C573,TB_FNX_TIPO_RESOURCE_BUNDLE!$A$7:$B$28,2,FALSE)</f>
        <v>Botão</v>
      </c>
      <c r="E573" s="25" t="s">
        <v>2395</v>
      </c>
      <c r="F573" s="25" t="s">
        <v>165</v>
      </c>
      <c r="G573" s="26" t="s">
        <v>2384</v>
      </c>
      <c r="H573" s="25" t="str">
        <f t="shared" si="25"/>
        <v>#{msg['CMD_MC_DET_FECHAR.label']}</v>
      </c>
      <c r="I573" s="25" t="str">
        <f t="shared" si="26"/>
        <v>#{msg['CMD_MC_DET_FECHAR.hint']}</v>
      </c>
    </row>
    <row r="574" spans="1:9" x14ac:dyDescent="0.25">
      <c r="A574" s="25">
        <f t="shared" si="24"/>
        <v>568</v>
      </c>
      <c r="B574" s="25" t="s">
        <v>2396</v>
      </c>
      <c r="C574" s="25">
        <v>4</v>
      </c>
      <c r="D574" s="25" t="str">
        <f>VLOOKUP(C574,TB_FNX_TIPO_RESOURCE_BUNDLE!$A$7:$B$28,2,FALSE)</f>
        <v>Rótulo de entrada de texto</v>
      </c>
      <c r="E574" s="25" t="s">
        <v>2399</v>
      </c>
      <c r="F574" s="25" t="s">
        <v>2397</v>
      </c>
      <c r="G574" s="26" t="s">
        <v>2398</v>
      </c>
      <c r="H574" s="25" t="str">
        <f t="shared" si="25"/>
        <v>#{msg['LBL_MC_FILTRO_GRUPO_CUSTEIO.label']}</v>
      </c>
      <c r="I574" s="25" t="str">
        <f t="shared" si="26"/>
        <v>#{msg['LBL_MC_FILTRO_GRUPO_CUSTEIO.hint']}</v>
      </c>
    </row>
    <row r="575" spans="1:9" ht="30" x14ac:dyDescent="0.25">
      <c r="A575" s="25">
        <f t="shared" si="24"/>
        <v>569</v>
      </c>
      <c r="B575" s="25" t="s">
        <v>2396</v>
      </c>
      <c r="C575" s="25">
        <v>4</v>
      </c>
      <c r="D575" s="25" t="str">
        <f>VLOOKUP(C575,TB_FNX_TIPO_RESOURCE_BUNDLE!$A$7:$B$28,2,FALSE)</f>
        <v>Rótulo de entrada de texto</v>
      </c>
      <c r="E575" s="25" t="s">
        <v>2400</v>
      </c>
      <c r="F575" s="25" t="s">
        <v>2369</v>
      </c>
      <c r="G575" s="26" t="s">
        <v>2370</v>
      </c>
      <c r="H575" s="25" t="str">
        <f t="shared" si="25"/>
        <v>#{msg['LBL_MC_FILTRO_MES_ANO.label']}</v>
      </c>
      <c r="I575" s="25" t="str">
        <f t="shared" si="26"/>
        <v>#{msg['LBL_MC_FILTRO_MES_ANO.hint']}</v>
      </c>
    </row>
    <row r="576" spans="1:9" x14ac:dyDescent="0.25">
      <c r="A576" s="25">
        <f t="shared" si="24"/>
        <v>570</v>
      </c>
      <c r="B576" s="25" t="s">
        <v>2396</v>
      </c>
      <c r="C576" s="25">
        <v>1</v>
      </c>
      <c r="D576" s="25" t="str">
        <f>VLOOKUP(C576,TB_FNX_TIPO_RESOURCE_BUNDLE!$A$7:$B$28,2,FALSE)</f>
        <v>Botão</v>
      </c>
      <c r="E576" s="25" t="s">
        <v>2401</v>
      </c>
      <c r="F576" s="25" t="s">
        <v>185</v>
      </c>
      <c r="G576" s="26" t="s">
        <v>2402</v>
      </c>
      <c r="H576" s="25" t="str">
        <f t="shared" si="25"/>
        <v>#{msg['CMD_MC_FILTRAR.label']}</v>
      </c>
      <c r="I576" s="25" t="str">
        <f t="shared" si="26"/>
        <v>#{msg['CMD_MC_FILTRAR.hint']}</v>
      </c>
    </row>
    <row r="577" spans="1:9" ht="30" x14ac:dyDescent="0.25">
      <c r="A577" s="25">
        <f t="shared" si="24"/>
        <v>571</v>
      </c>
      <c r="B577" s="25" t="s">
        <v>2396</v>
      </c>
      <c r="C577" s="25">
        <v>1</v>
      </c>
      <c r="D577" s="25" t="str">
        <f>VLOOKUP(C577,TB_FNX_TIPO_RESOURCE_BUNDLE!$A$7:$B$28,2,FALSE)</f>
        <v>Botão</v>
      </c>
      <c r="E577" s="25" t="s">
        <v>2403</v>
      </c>
      <c r="F577" s="25" t="s">
        <v>1229</v>
      </c>
      <c r="G577" s="26" t="s">
        <v>2404</v>
      </c>
      <c r="H577" s="25" t="str">
        <f t="shared" si="25"/>
        <v>#{msg['CMD_MC_NOVO.label']}</v>
      </c>
      <c r="I577" s="25" t="str">
        <f t="shared" si="26"/>
        <v>#{msg['CMD_MC_NOVO.hint']}</v>
      </c>
    </row>
    <row r="578" spans="1:9" x14ac:dyDescent="0.25">
      <c r="A578" s="25">
        <f t="shared" si="24"/>
        <v>572</v>
      </c>
      <c r="B578" s="25" t="s">
        <v>2396</v>
      </c>
      <c r="C578" s="25">
        <v>1</v>
      </c>
      <c r="D578" s="25" t="str">
        <f>VLOOKUP(C578,TB_FNX_TIPO_RESOURCE_BUNDLE!$A$7:$B$28,2,FALSE)</f>
        <v>Botão</v>
      </c>
      <c r="E578" s="25" t="s">
        <v>2405</v>
      </c>
      <c r="F578" s="25" t="s">
        <v>337</v>
      </c>
      <c r="G578" s="26" t="s">
        <v>2406</v>
      </c>
      <c r="H578" s="25" t="str">
        <f t="shared" si="25"/>
        <v>#{msg['CMD_MC_EDITAR.label']}</v>
      </c>
      <c r="I578" s="25" t="str">
        <f t="shared" si="26"/>
        <v>#{msg['CMD_MC_EDITAR.hint']}</v>
      </c>
    </row>
    <row r="579" spans="1:9" x14ac:dyDescent="0.25">
      <c r="A579" s="25">
        <f t="shared" si="24"/>
        <v>573</v>
      </c>
      <c r="B579" s="25" t="s">
        <v>2396</v>
      </c>
      <c r="C579" s="25">
        <v>1</v>
      </c>
      <c r="D579" s="25" t="str">
        <f>VLOOKUP(C579,TB_FNX_TIPO_RESOURCE_BUNDLE!$A$7:$B$28,2,FALSE)</f>
        <v>Botão</v>
      </c>
      <c r="E579" s="25" t="s">
        <v>2407</v>
      </c>
      <c r="F579" s="25" t="s">
        <v>196</v>
      </c>
      <c r="G579" s="26" t="s">
        <v>2408</v>
      </c>
      <c r="H579" s="25" t="str">
        <f t="shared" si="25"/>
        <v>#{msg['CMD_MC_IMPORTAR.label']}</v>
      </c>
      <c r="I579" s="25" t="str">
        <f t="shared" si="26"/>
        <v>#{msg['CMD_MC_IMPORTAR.hint']}</v>
      </c>
    </row>
    <row r="580" spans="1:9" ht="30" x14ac:dyDescent="0.25">
      <c r="A580" s="25">
        <f t="shared" si="24"/>
        <v>574</v>
      </c>
      <c r="B580" s="25" t="s">
        <v>2396</v>
      </c>
      <c r="C580" s="25">
        <v>4</v>
      </c>
      <c r="D580" s="25" t="str">
        <f>VLOOKUP(C580,TB_FNX_TIPO_RESOURCE_BUNDLE!$A$7:$B$28,2,FALSE)</f>
        <v>Rótulo de entrada de texto</v>
      </c>
      <c r="E580" s="25" t="s">
        <v>2409</v>
      </c>
      <c r="F580" s="25" t="s">
        <v>2410</v>
      </c>
      <c r="G580" s="26" t="s">
        <v>2411</v>
      </c>
      <c r="H580" s="25" t="str">
        <f t="shared" si="25"/>
        <v>#{msg['LBL_MC_PERIODO_FILTRADO.label']}</v>
      </c>
      <c r="I580" s="25" t="str">
        <f t="shared" si="26"/>
        <v>#{msg['LBL_MC_PERIODO_FILTRADO.hint']}</v>
      </c>
    </row>
    <row r="581" spans="1:9" x14ac:dyDescent="0.25">
      <c r="A581" s="25">
        <f t="shared" si="24"/>
        <v>575</v>
      </c>
      <c r="B581" s="25" t="s">
        <v>2396</v>
      </c>
      <c r="C581" s="25">
        <v>4</v>
      </c>
      <c r="D581" s="25" t="str">
        <f>VLOOKUP(C581,TB_FNX_TIPO_RESOURCE_BUNDLE!$A$7:$B$28,2,FALSE)</f>
        <v>Rótulo de entrada de texto</v>
      </c>
      <c r="E581" s="25" t="s">
        <v>2414</v>
      </c>
      <c r="F581" s="25" t="s">
        <v>2412</v>
      </c>
      <c r="G581" s="26" t="s">
        <v>2413</v>
      </c>
      <c r="H581" s="25" t="str">
        <f t="shared" si="25"/>
        <v>#{msg['LBL_MC_QTDE_LANC.label']}</v>
      </c>
      <c r="I581" s="25" t="str">
        <f t="shared" si="26"/>
        <v>#{msg['LBL_MC_QTDE_LANC.hint']}</v>
      </c>
    </row>
    <row r="582" spans="1:9" x14ac:dyDescent="0.25">
      <c r="A582" s="25">
        <f t="shared" si="24"/>
        <v>576</v>
      </c>
      <c r="B582" s="25" t="s">
        <v>2396</v>
      </c>
      <c r="C582" s="25">
        <v>4</v>
      </c>
      <c r="D582" s="25" t="str">
        <f>VLOOKUP(C582,TB_FNX_TIPO_RESOURCE_BUNDLE!$A$7:$B$28,2,FALSE)</f>
        <v>Rótulo de entrada de texto</v>
      </c>
      <c r="E582" s="25" t="s">
        <v>2375</v>
      </c>
      <c r="F582" s="25" t="s">
        <v>2415</v>
      </c>
      <c r="G582" s="26" t="s">
        <v>2416</v>
      </c>
      <c r="H582" s="25" t="str">
        <f t="shared" ref="H582:H605" si="27">CONCATENATE("#{msg['",$E582,".label']}")</f>
        <v>#{msg['LBL_MC_VL_PREVISTO.label']}</v>
      </c>
      <c r="I582" s="25" t="str">
        <f t="shared" si="26"/>
        <v>#{msg['LBL_MC_VL_PREVISTO.hint']}</v>
      </c>
    </row>
    <row r="583" spans="1:9" x14ac:dyDescent="0.25">
      <c r="A583" s="25">
        <f t="shared" si="24"/>
        <v>577</v>
      </c>
      <c r="B583" s="25" t="s">
        <v>2396</v>
      </c>
      <c r="C583" s="25">
        <v>4</v>
      </c>
      <c r="D583" s="25" t="str">
        <f>VLOOKUP(C583,TB_FNX_TIPO_RESOURCE_BUNDLE!$A$7:$B$28,2,FALSE)</f>
        <v>Rótulo de entrada de texto</v>
      </c>
      <c r="E583" s="25" t="s">
        <v>2378</v>
      </c>
      <c r="F583" s="25" t="s">
        <v>2417</v>
      </c>
      <c r="G583" s="26" t="s">
        <v>2418</v>
      </c>
      <c r="H583" s="25" t="str">
        <f t="shared" si="27"/>
        <v>#{msg['LBL_MC_VL_REALIZADO.label']}</v>
      </c>
      <c r="I583" s="25" t="str">
        <f t="shared" si="26"/>
        <v>#{msg['LBL_MC_VL_REALIZADO.hint']}</v>
      </c>
    </row>
    <row r="584" spans="1:9" x14ac:dyDescent="0.25">
      <c r="A584" s="25">
        <f t="shared" ref="A584:A605" si="28">A583+1</f>
        <v>578</v>
      </c>
      <c r="B584" s="25" t="s">
        <v>2396</v>
      </c>
      <c r="C584" s="25">
        <v>4</v>
      </c>
      <c r="D584" s="25" t="str">
        <f>VLOOKUP(C584,TB_FNX_TIPO_RESOURCE_BUNDLE!$A$7:$B$28,2,FALSE)</f>
        <v>Rótulo de entrada de texto</v>
      </c>
      <c r="E584" s="25" t="s">
        <v>2419</v>
      </c>
      <c r="F584" s="25" t="s">
        <v>2420</v>
      </c>
      <c r="G584" s="26" t="s">
        <v>2421</v>
      </c>
      <c r="H584" s="25" t="str">
        <f t="shared" si="27"/>
        <v>#{msg['LBL_MC_VL_SALDO.label']}</v>
      </c>
      <c r="I584" s="25" t="str">
        <f t="shared" ref="I584:I605" si="29">CONCATENATE("#{msg['",$E584,".hint']}")</f>
        <v>#{msg['LBL_MC_VL_SALDO.hint']}</v>
      </c>
    </row>
    <row r="585" spans="1:9" ht="30" x14ac:dyDescent="0.25">
      <c r="A585" s="25">
        <f t="shared" si="28"/>
        <v>579</v>
      </c>
      <c r="B585" s="25" t="s">
        <v>2396</v>
      </c>
      <c r="C585" s="25">
        <v>4</v>
      </c>
      <c r="D585" s="25" t="str">
        <f>VLOOKUP(C585,TB_FNX_TIPO_RESOURCE_BUNDLE!$A$7:$B$28,2,FALSE)</f>
        <v>Rótulo de entrada de texto</v>
      </c>
      <c r="E585" s="25" t="s">
        <v>2422</v>
      </c>
      <c r="F585" s="25" t="s">
        <v>2423</v>
      </c>
      <c r="G585" s="26" t="s">
        <v>2424</v>
      </c>
      <c r="H585" s="25" t="str">
        <f t="shared" si="27"/>
        <v>#{msg['LBL_MC_TOTAL.label']}</v>
      </c>
      <c r="I585" s="25" t="str">
        <f t="shared" si="29"/>
        <v>#{msg['LBL_MC_TOTAL.hint']}</v>
      </c>
    </row>
    <row r="586" spans="1:9" x14ac:dyDescent="0.25">
      <c r="A586" s="25">
        <f t="shared" si="28"/>
        <v>580</v>
      </c>
      <c r="B586" s="25" t="s">
        <v>2396</v>
      </c>
      <c r="C586" s="25">
        <v>4</v>
      </c>
      <c r="D586" s="25" t="str">
        <f>VLOOKUP(C586,TB_FNX_TIPO_RESOURCE_BUNDLE!$A$7:$B$28,2,FALSE)</f>
        <v>Rótulo de entrada de texto</v>
      </c>
      <c r="E586" s="25" t="s">
        <v>2425</v>
      </c>
      <c r="F586" s="25" t="s">
        <v>2426</v>
      </c>
      <c r="G586" s="26" t="s">
        <v>2427</v>
      </c>
      <c r="H586" s="25" t="str">
        <f t="shared" si="27"/>
        <v>#{msg['LBL_MC_IMP_PROJ_ORIGEM.label']}</v>
      </c>
      <c r="I586" s="25" t="str">
        <f t="shared" si="29"/>
        <v>#{msg['LBL_MC_IMP_PROJ_ORIGEM.hint']}</v>
      </c>
    </row>
    <row r="587" spans="1:9" x14ac:dyDescent="0.25">
      <c r="A587" s="25">
        <f t="shared" si="28"/>
        <v>581</v>
      </c>
      <c r="B587" s="25" t="s">
        <v>2396</v>
      </c>
      <c r="C587" s="25">
        <v>9</v>
      </c>
      <c r="D587" s="25" t="str">
        <f>VLOOKUP(C587,TB_FNX_TIPO_RESOURCE_BUNDLE!$A$7:$B$28,2,FALSE)</f>
        <v>Propriedade</v>
      </c>
      <c r="E587" s="25" t="s">
        <v>2430</v>
      </c>
      <c r="F587" s="9" t="s">
        <v>2429</v>
      </c>
      <c r="G587" s="26"/>
      <c r="H587" s="25" t="str">
        <f t="shared" si="27"/>
        <v>#{msg['LBL_SELECT_OBRIGATORIO.label']}</v>
      </c>
      <c r="I587" s="25" t="str">
        <f t="shared" si="29"/>
        <v>#{msg['LBL_SELECT_OBRIGATORIO.hint']}</v>
      </c>
    </row>
    <row r="588" spans="1:9" x14ac:dyDescent="0.25">
      <c r="A588" s="25">
        <f t="shared" si="28"/>
        <v>582</v>
      </c>
      <c r="B588" s="25" t="s">
        <v>2396</v>
      </c>
      <c r="C588" s="25">
        <v>9</v>
      </c>
      <c r="D588" s="25" t="str">
        <f>VLOOKUP(C588,TB_FNX_TIPO_RESOURCE_BUNDLE!$A$7:$B$28,2,FALSE)</f>
        <v>Propriedade</v>
      </c>
      <c r="E588" s="25" t="s">
        <v>2428</v>
      </c>
      <c r="F588" s="9" t="s">
        <v>2431</v>
      </c>
      <c r="G588" s="26"/>
      <c r="H588" s="25" t="str">
        <f t="shared" si="27"/>
        <v>#{msg['LBL_SELECT_OPCIONAL.label']}</v>
      </c>
      <c r="I588" s="25" t="str">
        <f t="shared" si="29"/>
        <v>#{msg['LBL_SELECT_OPCIONAL.hint']}</v>
      </c>
    </row>
    <row r="589" spans="1:9" ht="32.25" customHeight="1" x14ac:dyDescent="0.25">
      <c r="A589" s="25">
        <f t="shared" si="28"/>
        <v>583</v>
      </c>
      <c r="B589" s="25" t="s">
        <v>2438</v>
      </c>
      <c r="C589" s="25">
        <v>4</v>
      </c>
      <c r="D589" s="25" t="str">
        <f>VLOOKUP(C589,TB_FNX_TIPO_RESOURCE_BUNDLE!$A$7:$B$28,2,FALSE)</f>
        <v>Rótulo de entrada de texto</v>
      </c>
      <c r="E589" s="25" t="s">
        <v>2432</v>
      </c>
      <c r="F589" s="25" t="s">
        <v>2433</v>
      </c>
      <c r="G589" s="26" t="s">
        <v>2434</v>
      </c>
      <c r="H589" s="25" t="str">
        <f t="shared" si="27"/>
        <v>#{msg['LBL_MC_IMP_PER_PRJ_ORIGEM.label']}</v>
      </c>
      <c r="I589" s="25" t="str">
        <f t="shared" si="29"/>
        <v>#{msg['LBL_MC_IMP_PER_PRJ_ORIGEM.hint']}</v>
      </c>
    </row>
    <row r="590" spans="1:9" ht="34.5" customHeight="1" x14ac:dyDescent="0.25">
      <c r="A590" s="25">
        <f t="shared" si="28"/>
        <v>584</v>
      </c>
      <c r="B590" s="25" t="s">
        <v>2438</v>
      </c>
      <c r="C590" s="25">
        <v>4</v>
      </c>
      <c r="D590" s="25" t="str">
        <f>VLOOKUP(C590,TB_FNX_TIPO_RESOURCE_BUNDLE!$A$7:$B$28,2,FALSE)</f>
        <v>Rótulo de entrada de texto</v>
      </c>
      <c r="E590" s="25" t="s">
        <v>2435</v>
      </c>
      <c r="F590" s="25" t="s">
        <v>2436</v>
      </c>
      <c r="G590" s="26" t="s">
        <v>2437</v>
      </c>
      <c r="H590" s="25" t="str">
        <f t="shared" si="27"/>
        <v>#{msg['LBL_MC_IMP_PER_PRJ_DESTINO.label']}</v>
      </c>
      <c r="I590" s="25" t="str">
        <f t="shared" si="29"/>
        <v>#{msg['LBL_MC_IMP_PER_PRJ_DESTINO.hint']}</v>
      </c>
    </row>
    <row r="591" spans="1:9" x14ac:dyDescent="0.25">
      <c r="A591" s="25">
        <f t="shared" si="28"/>
        <v>585</v>
      </c>
      <c r="B591" s="25" t="s">
        <v>2438</v>
      </c>
      <c r="C591" s="25">
        <v>4</v>
      </c>
      <c r="D591" s="25" t="str">
        <f>VLOOKUP(C591,TB_FNX_TIPO_RESOURCE_BUNDLE!$A$7:$B$28,2,FALSE)</f>
        <v>Rótulo de entrada de texto</v>
      </c>
      <c r="E591" s="25" t="s">
        <v>2440</v>
      </c>
      <c r="F591" s="25" t="s">
        <v>2439</v>
      </c>
      <c r="G591" s="26"/>
      <c r="H591" s="25" t="str">
        <f t="shared" si="27"/>
        <v>#{msg['LBL_SEL_PRJ_IMPORTAR.label']}</v>
      </c>
      <c r="I591" s="25" t="str">
        <f t="shared" si="29"/>
        <v>#{msg['LBL_SEL_PRJ_IMPORTAR.hint']}</v>
      </c>
    </row>
    <row r="592" spans="1:9" x14ac:dyDescent="0.25">
      <c r="A592" s="25">
        <f t="shared" si="28"/>
        <v>586</v>
      </c>
      <c r="B592" s="25" t="s">
        <v>2438</v>
      </c>
      <c r="C592" s="25">
        <v>4</v>
      </c>
      <c r="D592" s="25" t="str">
        <f>VLOOKUP(C592,TB_FNX_TIPO_RESOURCE_BUNDLE!$A$7:$B$28,2,FALSE)</f>
        <v>Rótulo de entrada de texto</v>
      </c>
      <c r="E592" s="25" t="s">
        <v>2441</v>
      </c>
      <c r="F592" s="25" t="s">
        <v>196</v>
      </c>
      <c r="G592" s="26"/>
      <c r="H592" s="25" t="str">
        <f t="shared" si="27"/>
        <v>#{msg['LBL_MC_IMP_TP_IMPORT.label']}</v>
      </c>
      <c r="I592" s="25" t="str">
        <f t="shared" si="29"/>
        <v>#{msg['LBL_MC_IMP_TP_IMPORT.hint']}</v>
      </c>
    </row>
    <row r="593" spans="1:9" x14ac:dyDescent="0.25">
      <c r="A593" s="25">
        <f t="shared" si="28"/>
        <v>587</v>
      </c>
      <c r="B593" s="25" t="s">
        <v>2438</v>
      </c>
      <c r="C593" s="25">
        <v>4</v>
      </c>
      <c r="D593" s="25" t="str">
        <f>VLOOKUP(C593,TB_FNX_TIPO_RESOURCE_BUNDLE!$A$7:$B$28,2,FALSE)</f>
        <v>Rótulo de entrada de texto</v>
      </c>
      <c r="E593" s="25" t="s">
        <v>2442</v>
      </c>
      <c r="F593" s="25" t="s">
        <v>2443</v>
      </c>
      <c r="G593" s="26"/>
      <c r="H593" s="25" t="str">
        <f t="shared" si="27"/>
        <v>#{msg['LBL_MC_IMP_IMP_PREV.label']}</v>
      </c>
      <c r="I593" s="25" t="str">
        <f t="shared" si="29"/>
        <v>#{msg['LBL_MC_IMP_IMP_PREV.hint']}</v>
      </c>
    </row>
    <row r="594" spans="1:9" x14ac:dyDescent="0.25">
      <c r="A594" s="25">
        <f t="shared" si="28"/>
        <v>588</v>
      </c>
      <c r="B594" s="25" t="s">
        <v>2438</v>
      </c>
      <c r="C594" s="25">
        <v>4</v>
      </c>
      <c r="D594" s="25" t="str">
        <f>VLOOKUP(C594,TB_FNX_TIPO_RESOURCE_BUNDLE!$A$7:$B$28,2,FALSE)</f>
        <v>Rótulo de entrada de texto</v>
      </c>
      <c r="E594" s="25" t="s">
        <v>2445</v>
      </c>
      <c r="F594" s="25" t="s">
        <v>2444</v>
      </c>
      <c r="G594" s="26"/>
      <c r="H594" s="25" t="str">
        <f t="shared" si="27"/>
        <v>#{msg['LBL_MC_IMP_IMP_REALIZADO.label']}</v>
      </c>
      <c r="I594" s="25" t="str">
        <f t="shared" si="29"/>
        <v>#{msg['LBL_MC_IMP_IMP_REALIZADO.hint']}</v>
      </c>
    </row>
    <row r="595" spans="1:9" x14ac:dyDescent="0.25">
      <c r="A595" s="25">
        <f t="shared" si="28"/>
        <v>589</v>
      </c>
      <c r="B595" s="25" t="s">
        <v>2438</v>
      </c>
      <c r="C595" s="25">
        <v>4</v>
      </c>
      <c r="D595" s="25" t="str">
        <f>VLOOKUP(C595,TB_FNX_TIPO_RESOURCE_BUNDLE!$A$7:$B$28,2,FALSE)</f>
        <v>Rótulo de entrada de texto</v>
      </c>
      <c r="E595" s="25" t="s">
        <v>2446</v>
      </c>
      <c r="F595" s="25" t="s">
        <v>2447</v>
      </c>
      <c r="G595" s="26"/>
      <c r="H595" s="25" t="str">
        <f t="shared" si="27"/>
        <v>#{msg['LBL_MC_IMP_COEF_K.label']}</v>
      </c>
      <c r="I595" s="25" t="str">
        <f t="shared" si="29"/>
        <v>#{msg['LBL_MC_IMP_COEF_K.hint']}</v>
      </c>
    </row>
    <row r="596" spans="1:9" x14ac:dyDescent="0.25">
      <c r="A596" s="25">
        <f t="shared" si="28"/>
        <v>590</v>
      </c>
      <c r="B596" s="25" t="s">
        <v>2438</v>
      </c>
      <c r="C596" s="25">
        <v>4</v>
      </c>
      <c r="D596" s="25" t="str">
        <f>VLOOKUP(C596,TB_FNX_TIPO_RESOURCE_BUNDLE!$A$7:$B$28,2,FALSE)</f>
        <v>Rótulo de entrada de texto</v>
      </c>
      <c r="E596" s="25" t="s">
        <v>2448</v>
      </c>
      <c r="F596" s="25" t="s">
        <v>2449</v>
      </c>
      <c r="G596" s="26"/>
      <c r="H596" s="25" t="str">
        <f t="shared" si="27"/>
        <v>#{msg['LBL_MC_IMP_MES_INI_K.label']}</v>
      </c>
      <c r="I596" s="25" t="str">
        <f t="shared" si="29"/>
        <v>#{msg['LBL_MC_IMP_MES_INI_K.hint']}</v>
      </c>
    </row>
    <row r="597" spans="1:9" x14ac:dyDescent="0.25">
      <c r="A597" s="25">
        <f t="shared" si="28"/>
        <v>591</v>
      </c>
      <c r="B597" s="25" t="s">
        <v>2438</v>
      </c>
      <c r="C597" s="25">
        <v>1</v>
      </c>
      <c r="D597" s="25" t="str">
        <f>VLOOKUP(C597,TB_FNX_TIPO_RESOURCE_BUNDLE!$A$7:$B$28,2,FALSE)</f>
        <v>Botão</v>
      </c>
      <c r="E597" s="25" t="s">
        <v>2451</v>
      </c>
      <c r="F597" s="25" t="s">
        <v>2452</v>
      </c>
      <c r="G597" s="26"/>
      <c r="H597" s="25" t="str">
        <f t="shared" si="27"/>
        <v>#{msg['CMD_MC_IMP_OK.label']}</v>
      </c>
      <c r="I597" s="25" t="str">
        <f t="shared" si="29"/>
        <v>#{msg['CMD_MC_IMP_OK.hint']}</v>
      </c>
    </row>
    <row r="598" spans="1:9" x14ac:dyDescent="0.25">
      <c r="A598" s="25">
        <f t="shared" si="28"/>
        <v>592</v>
      </c>
      <c r="B598" s="25" t="s">
        <v>2438</v>
      </c>
      <c r="C598" s="25">
        <v>1</v>
      </c>
      <c r="D598" s="25" t="str">
        <f>VLOOKUP(C598,TB_FNX_TIPO_RESOURCE_BUNDLE!$A$7:$B$28,2,FALSE)</f>
        <v>Botão</v>
      </c>
      <c r="E598" s="25" t="s">
        <v>2453</v>
      </c>
      <c r="F598" s="25" t="s">
        <v>329</v>
      </c>
      <c r="G598" s="26"/>
      <c r="H598" s="25" t="str">
        <f t="shared" si="27"/>
        <v>#{msg['CMD_MC_IMP_CANCELAR.label']}</v>
      </c>
      <c r="I598" s="25" t="str">
        <f t="shared" si="29"/>
        <v>#{msg['CMD_MC_IMP_CANCELAR.hint']}</v>
      </c>
    </row>
    <row r="599" spans="1:9" x14ac:dyDescent="0.25">
      <c r="A599" s="25">
        <f t="shared" si="28"/>
        <v>593</v>
      </c>
      <c r="B599" s="25" t="s">
        <v>2438</v>
      </c>
      <c r="C599" s="25">
        <v>1</v>
      </c>
      <c r="D599" s="25" t="str">
        <f>VLOOKUP(C599,TB_FNX_TIPO_RESOURCE_BUNDLE!$A$7:$B$28,2,FALSE)</f>
        <v>Botão</v>
      </c>
      <c r="E599" s="25" t="s">
        <v>2454</v>
      </c>
      <c r="F599" s="25" t="s">
        <v>196</v>
      </c>
      <c r="G599" s="26"/>
      <c r="H599" s="25" t="str">
        <f t="shared" si="27"/>
        <v>#{msg['CMD_MC_IMP_IMPORTAR.label']}</v>
      </c>
      <c r="I599" s="25" t="str">
        <f t="shared" si="29"/>
        <v>#{msg['CMD_MC_IMP_IMPORTAR.hint']}</v>
      </c>
    </row>
    <row r="600" spans="1:9" x14ac:dyDescent="0.25">
      <c r="A600" s="25">
        <f t="shared" si="28"/>
        <v>594</v>
      </c>
      <c r="B600" s="25" t="s">
        <v>2343</v>
      </c>
      <c r="C600" s="25">
        <v>4</v>
      </c>
      <c r="D600" s="25" t="str">
        <f>VLOOKUP(C600,TB_FNX_TIPO_RESOURCE_BUNDLE!$A$7:$B$28,2,FALSE)</f>
        <v>Rótulo de entrada de texto</v>
      </c>
      <c r="E600" s="25" t="s">
        <v>2467</v>
      </c>
      <c r="F600" s="25" t="s">
        <v>2423</v>
      </c>
      <c r="G600" s="26"/>
      <c r="H600" s="25" t="str">
        <f t="shared" si="27"/>
        <v>#{msg['LBL_MC_DET_TOTAL.label']}</v>
      </c>
      <c r="I600" s="25" t="str">
        <f t="shared" si="29"/>
        <v>#{msg['LBL_MC_DET_TOTAL.hint']}</v>
      </c>
    </row>
    <row r="601" spans="1:9" x14ac:dyDescent="0.25">
      <c r="A601" s="25">
        <f t="shared" si="28"/>
        <v>595</v>
      </c>
      <c r="B601" s="25" t="s">
        <v>2343</v>
      </c>
      <c r="C601" s="25">
        <v>4</v>
      </c>
      <c r="D601" s="25" t="str">
        <f>VLOOKUP(C601,TB_FNX_TIPO_RESOURCE_BUNDLE!$A$7:$B$28,2,FALSE)</f>
        <v>Rótulo de entrada de texto</v>
      </c>
      <c r="E601" s="2" t="s">
        <v>2470</v>
      </c>
      <c r="F601" s="2" t="s">
        <v>337</v>
      </c>
      <c r="H601" s="25" t="str">
        <f t="shared" si="27"/>
        <v>#{msg['LBL_MC_DET_EDITAR.label']}</v>
      </c>
      <c r="I601" s="25" t="str">
        <f t="shared" si="29"/>
        <v>#{msg['LBL_MC_DET_EDITAR.hint']}</v>
      </c>
    </row>
    <row r="602" spans="1:9" x14ac:dyDescent="0.25">
      <c r="A602" s="25">
        <f t="shared" si="28"/>
        <v>596</v>
      </c>
      <c r="B602" s="25" t="s">
        <v>2343</v>
      </c>
      <c r="C602" s="25">
        <v>4</v>
      </c>
      <c r="D602" s="25" t="str">
        <f>VLOOKUP(C602,TB_FNX_TIPO_RESOURCE_BUNDLE!$A$7:$B$28,2,FALSE)</f>
        <v>Rótulo de entrada de texto</v>
      </c>
      <c r="E602" s="2" t="s">
        <v>2471</v>
      </c>
      <c r="F602" s="2" t="s">
        <v>2472</v>
      </c>
      <c r="H602" s="25" t="str">
        <f t="shared" si="27"/>
        <v>#{msg['LBL_MC_DET_INCLUIR.label']}</v>
      </c>
      <c r="I602" s="25" t="str">
        <f t="shared" si="29"/>
        <v>#{msg['LBL_MC_DET_INCLUIR.hint']}</v>
      </c>
    </row>
    <row r="603" spans="1:9" x14ac:dyDescent="0.25">
      <c r="A603" s="25">
        <f t="shared" si="28"/>
        <v>597</v>
      </c>
      <c r="C603" s="2">
        <v>4</v>
      </c>
      <c r="D603" s="25" t="str">
        <f>VLOOKUP(C603,TB_FNX_TIPO_RESOURCE_BUNDLE!$A$7:$B$28,2,FALSE)</f>
        <v>Rótulo de entrada de texto</v>
      </c>
      <c r="E603" s="43" t="s">
        <v>2474</v>
      </c>
      <c r="F603" s="43" t="s">
        <v>2475</v>
      </c>
      <c r="G603" s="43" t="s">
        <v>2476</v>
      </c>
      <c r="H603" s="25" t="str">
        <f t="shared" si="27"/>
        <v>#{msg['LBL_PC_15_DEP_GLOSA.label']}</v>
      </c>
      <c r="I603" s="25" t="str">
        <f t="shared" si="29"/>
        <v>#{msg['LBL_PC_15_DEP_GLOSA.hint']}</v>
      </c>
    </row>
    <row r="604" spans="1:9" x14ac:dyDescent="0.25">
      <c r="A604" s="25">
        <f t="shared" si="28"/>
        <v>598</v>
      </c>
      <c r="C604" s="2">
        <v>4</v>
      </c>
      <c r="D604" s="25" t="str">
        <f>VLOOKUP(C604,TB_FNX_TIPO_RESOURCE_BUNDLE!$A$7:$B$28,2,FALSE)</f>
        <v>Rótulo de entrada de texto</v>
      </c>
      <c r="E604" s="10" t="s">
        <v>2477</v>
      </c>
      <c r="F604" s="43" t="s">
        <v>2478</v>
      </c>
      <c r="G604" s="43" t="s">
        <v>2479</v>
      </c>
      <c r="H604" s="25" t="str">
        <f t="shared" si="27"/>
        <v>#{msg['LBL_PC_25_GLOSA.label']}</v>
      </c>
      <c r="I604" s="25" t="str">
        <f t="shared" si="29"/>
        <v>#{msg['LBL_PC_25_GLOSA.hint']}</v>
      </c>
    </row>
    <row r="605" spans="1:9" x14ac:dyDescent="0.25">
      <c r="A605" s="25">
        <f t="shared" si="28"/>
        <v>599</v>
      </c>
      <c r="C605" s="2">
        <v>4</v>
      </c>
      <c r="D605" s="25" t="str">
        <f>VLOOKUP(C605,TB_FNX_TIPO_RESOURCE_BUNDLE!$A$7:$B$28,2,FALSE)</f>
        <v>Rótulo de entrada de texto</v>
      </c>
      <c r="E605" s="30" t="s">
        <v>2480</v>
      </c>
      <c r="F605" s="43" t="s">
        <v>2481</v>
      </c>
      <c r="G605" s="43" t="s">
        <v>2481</v>
      </c>
      <c r="H605" s="25" t="str">
        <f t="shared" si="27"/>
        <v>#{msg['LBL_PC_15_VL_GLOSA.label']}</v>
      </c>
      <c r="I605" s="25" t="str">
        <f t="shared" si="29"/>
        <v>#{msg['LBL_PC_15_VL_GLOSA.hint']}</v>
      </c>
    </row>
  </sheetData>
  <sortState ref="A7:G388">
    <sortCondition ref="E7"/>
  </sortState>
  <pageMargins left="0.511811024" right="0.511811024" top="0.78740157499999996" bottom="0.78740157499999996" header="0.31496062000000002" footer="0.31496062000000002"/>
  <pageSetup orientation="portrait" horizontalDpi="300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D544"/>
  <sheetViews>
    <sheetView workbookViewId="0">
      <selection activeCell="A7" sqref="A7"/>
    </sheetView>
  </sheetViews>
  <sheetFormatPr defaultColWidth="8.85546875" defaultRowHeight="15" x14ac:dyDescent="0.25"/>
  <cols>
    <col min="1" max="1" width="23.85546875" bestFit="1" customWidth="1"/>
    <col min="2" max="2" width="38.140625" customWidth="1"/>
    <col min="3" max="3" width="32.140625" customWidth="1"/>
    <col min="4" max="4" width="32" bestFit="1" customWidth="1"/>
  </cols>
  <sheetData>
    <row r="1" spans="1:4" s="2" customFormat="1" x14ac:dyDescent="0.25">
      <c r="A1" s="11" t="s">
        <v>1</v>
      </c>
      <c r="B1" s="2" t="s">
        <v>1269</v>
      </c>
    </row>
    <row r="2" spans="1:4" s="2" customFormat="1" x14ac:dyDescent="0.25">
      <c r="A2" s="11" t="s">
        <v>310</v>
      </c>
    </row>
    <row r="3" spans="1:4" s="2" customFormat="1" x14ac:dyDescent="0.25">
      <c r="A3" s="11" t="s">
        <v>320</v>
      </c>
    </row>
    <row r="4" spans="1:4" s="2" customFormat="1" x14ac:dyDescent="0.25">
      <c r="A4" s="11" t="s">
        <v>311</v>
      </c>
      <c r="B4" s="2" t="s">
        <v>319</v>
      </c>
      <c r="C4" s="11" t="s">
        <v>483</v>
      </c>
    </row>
    <row r="5" spans="1:4" s="2" customFormat="1" x14ac:dyDescent="0.25"/>
    <row r="6" spans="1:4" x14ac:dyDescent="0.25">
      <c r="A6" s="1" t="s">
        <v>1270</v>
      </c>
      <c r="B6" s="1" t="s">
        <v>1286</v>
      </c>
      <c r="C6" s="1" t="s">
        <v>1271</v>
      </c>
      <c r="D6" s="20" t="s">
        <v>1285</v>
      </c>
    </row>
    <row r="7" spans="1:4" x14ac:dyDescent="0.25">
      <c r="A7" s="13">
        <v>5</v>
      </c>
      <c r="B7" s="8" t="s">
        <v>1272</v>
      </c>
      <c r="C7" t="s">
        <v>1116</v>
      </c>
      <c r="D7" s="21">
        <v>41349</v>
      </c>
    </row>
    <row r="8" spans="1:4" x14ac:dyDescent="0.25">
      <c r="A8" s="13">
        <v>6</v>
      </c>
      <c r="B8" s="8" t="s">
        <v>1273</v>
      </c>
      <c r="C8" t="s">
        <v>1116</v>
      </c>
      <c r="D8" s="21">
        <v>41349</v>
      </c>
    </row>
    <row r="9" spans="1:4" x14ac:dyDescent="0.25">
      <c r="A9" s="13">
        <v>7</v>
      </c>
      <c r="B9" s="8" t="s">
        <v>1117</v>
      </c>
      <c r="C9" t="s">
        <v>1116</v>
      </c>
      <c r="D9" s="21">
        <v>41349</v>
      </c>
    </row>
    <row r="10" spans="1:4" x14ac:dyDescent="0.25">
      <c r="A10" s="13">
        <v>8</v>
      </c>
      <c r="B10" s="8" t="s">
        <v>1274</v>
      </c>
      <c r="C10" t="s">
        <v>1116</v>
      </c>
      <c r="D10" s="21">
        <v>41349</v>
      </c>
    </row>
    <row r="11" spans="1:4" x14ac:dyDescent="0.25">
      <c r="A11" s="13">
        <v>9</v>
      </c>
      <c r="B11" s="8" t="s">
        <v>1275</v>
      </c>
      <c r="C11" t="s">
        <v>1116</v>
      </c>
      <c r="D11" s="21">
        <v>41349</v>
      </c>
    </row>
    <row r="12" spans="1:4" x14ac:dyDescent="0.25">
      <c r="A12" s="13">
        <v>10</v>
      </c>
      <c r="B12" s="8" t="s">
        <v>1276</v>
      </c>
      <c r="C12" t="s">
        <v>1116</v>
      </c>
      <c r="D12" s="21">
        <v>41349</v>
      </c>
    </row>
    <row r="13" spans="1:4" x14ac:dyDescent="0.25">
      <c r="A13" s="13"/>
      <c r="B13" s="8"/>
    </row>
    <row r="14" spans="1:4" x14ac:dyDescent="0.25">
      <c r="A14" s="13"/>
      <c r="B14" s="8"/>
    </row>
    <row r="15" spans="1:4" x14ac:dyDescent="0.25">
      <c r="A15" s="13"/>
      <c r="B15" s="8"/>
    </row>
    <row r="16" spans="1:4" x14ac:dyDescent="0.25">
      <c r="A16" s="13"/>
      <c r="B16" s="8"/>
    </row>
    <row r="17" spans="1:2" x14ac:dyDescent="0.25">
      <c r="A17" s="13"/>
      <c r="B17" s="8"/>
    </row>
    <row r="18" spans="1:2" x14ac:dyDescent="0.25">
      <c r="A18" s="13"/>
      <c r="B18" s="8"/>
    </row>
    <row r="19" spans="1:2" x14ac:dyDescent="0.25">
      <c r="A19" s="13"/>
      <c r="B19" s="8"/>
    </row>
    <row r="20" spans="1:2" x14ac:dyDescent="0.25">
      <c r="A20" s="13"/>
      <c r="B20" s="8"/>
    </row>
    <row r="21" spans="1:2" x14ac:dyDescent="0.25">
      <c r="A21" s="13"/>
      <c r="B21" s="8"/>
    </row>
    <row r="22" spans="1:2" x14ac:dyDescent="0.25">
      <c r="A22" s="13"/>
      <c r="B22" s="8"/>
    </row>
    <row r="23" spans="1:2" x14ac:dyDescent="0.25">
      <c r="A23" s="13"/>
      <c r="B23" s="8"/>
    </row>
    <row r="24" spans="1:2" x14ac:dyDescent="0.25">
      <c r="A24" s="13"/>
      <c r="B24" s="8"/>
    </row>
    <row r="25" spans="1:2" x14ac:dyDescent="0.25">
      <c r="A25" s="13"/>
      <c r="B25" s="8"/>
    </row>
    <row r="26" spans="1:2" x14ac:dyDescent="0.25">
      <c r="A26" s="13"/>
      <c r="B26" s="8"/>
    </row>
    <row r="27" spans="1:2" x14ac:dyDescent="0.25">
      <c r="A27" s="13"/>
      <c r="B27" s="8"/>
    </row>
    <row r="28" spans="1:2" x14ac:dyDescent="0.25">
      <c r="A28" s="13"/>
      <c r="B28" s="8"/>
    </row>
    <row r="29" spans="1:2" x14ac:dyDescent="0.25">
      <c r="A29" s="13"/>
      <c r="B29" s="8"/>
    </row>
    <row r="30" spans="1:2" x14ac:dyDescent="0.25">
      <c r="A30" s="13"/>
      <c r="B30" s="8"/>
    </row>
    <row r="31" spans="1:2" x14ac:dyDescent="0.25">
      <c r="A31" s="13"/>
      <c r="B31" s="8"/>
    </row>
    <row r="32" spans="1:2" x14ac:dyDescent="0.25">
      <c r="A32" s="13"/>
      <c r="B32" s="8"/>
    </row>
    <row r="33" spans="1:2" x14ac:dyDescent="0.25">
      <c r="A33" s="13"/>
      <c r="B33" s="8"/>
    </row>
    <row r="34" spans="1:2" x14ac:dyDescent="0.25">
      <c r="A34" s="13"/>
      <c r="B34" s="8"/>
    </row>
    <row r="35" spans="1:2" x14ac:dyDescent="0.25">
      <c r="A35" s="13"/>
      <c r="B35" s="8"/>
    </row>
    <row r="36" spans="1:2" x14ac:dyDescent="0.25">
      <c r="A36" s="13"/>
      <c r="B36" s="8"/>
    </row>
    <row r="37" spans="1:2" x14ac:dyDescent="0.25">
      <c r="A37" s="13"/>
    </row>
    <row r="38" spans="1:2" x14ac:dyDescent="0.25">
      <c r="A38" s="13"/>
    </row>
    <row r="39" spans="1:2" x14ac:dyDescent="0.25">
      <c r="A39" s="13"/>
    </row>
    <row r="40" spans="1:2" x14ac:dyDescent="0.25">
      <c r="A40" s="13"/>
    </row>
    <row r="41" spans="1:2" x14ac:dyDescent="0.25">
      <c r="A41" s="13"/>
    </row>
    <row r="42" spans="1:2" x14ac:dyDescent="0.25">
      <c r="A42" s="13"/>
    </row>
    <row r="43" spans="1:2" x14ac:dyDescent="0.25">
      <c r="A43" s="13"/>
    </row>
    <row r="44" spans="1:2" x14ac:dyDescent="0.25">
      <c r="A44" s="13"/>
    </row>
    <row r="45" spans="1:2" x14ac:dyDescent="0.25">
      <c r="A45" s="13"/>
    </row>
    <row r="46" spans="1:2" x14ac:dyDescent="0.25">
      <c r="A46" s="13"/>
    </row>
    <row r="47" spans="1:2" x14ac:dyDescent="0.25">
      <c r="A47" s="13"/>
    </row>
    <row r="48" spans="1:2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  <row r="543" spans="1:1" x14ac:dyDescent="0.25">
      <c r="A543" s="13"/>
    </row>
    <row r="544" spans="1:1" x14ac:dyDescent="0.25">
      <c r="A544" s="13"/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E542"/>
  <sheetViews>
    <sheetView workbookViewId="0">
      <selection activeCell="B7" sqref="B7"/>
    </sheetView>
  </sheetViews>
  <sheetFormatPr defaultColWidth="8.85546875" defaultRowHeight="15" x14ac:dyDescent="0.25"/>
  <cols>
    <col min="1" max="1" width="28.7109375" customWidth="1"/>
    <col min="2" max="2" width="30.28515625" customWidth="1"/>
    <col min="3" max="3" width="33.42578125" bestFit="1" customWidth="1"/>
    <col min="4" max="4" width="28.42578125" bestFit="1" customWidth="1"/>
    <col min="5" max="5" width="15.42578125" bestFit="1" customWidth="1"/>
  </cols>
  <sheetData>
    <row r="1" spans="1:5" s="2" customFormat="1" x14ac:dyDescent="0.25">
      <c r="A1" s="11" t="s">
        <v>1</v>
      </c>
      <c r="B1" s="2" t="s">
        <v>1287</v>
      </c>
    </row>
    <row r="2" spans="1:5" s="2" customFormat="1" x14ac:dyDescent="0.25">
      <c r="A2" s="11" t="s">
        <v>310</v>
      </c>
    </row>
    <row r="3" spans="1:5" s="2" customFormat="1" x14ac:dyDescent="0.25">
      <c r="A3" s="11" t="s">
        <v>320</v>
      </c>
    </row>
    <row r="4" spans="1:5" s="2" customFormat="1" x14ac:dyDescent="0.25">
      <c r="A4" s="11" t="s">
        <v>311</v>
      </c>
      <c r="B4" s="2" t="s">
        <v>319</v>
      </c>
      <c r="C4" s="11" t="s">
        <v>483</v>
      </c>
    </row>
    <row r="5" spans="1:5" s="2" customFormat="1" x14ac:dyDescent="0.25"/>
    <row r="6" spans="1:5" x14ac:dyDescent="0.25">
      <c r="A6" s="1" t="s">
        <v>1290</v>
      </c>
      <c r="B6" s="1" t="s">
        <v>1291</v>
      </c>
      <c r="C6" s="1" t="s">
        <v>1292</v>
      </c>
      <c r="D6" s="20" t="s">
        <v>1293</v>
      </c>
      <c r="E6" s="1" t="s">
        <v>1332</v>
      </c>
    </row>
    <row r="7" spans="1:5" x14ac:dyDescent="0.25">
      <c r="A7" s="13">
        <v>1</v>
      </c>
      <c r="B7" s="8" t="s">
        <v>1288</v>
      </c>
      <c r="C7" s="21">
        <v>41372</v>
      </c>
      <c r="D7" s="21" t="s">
        <v>1116</v>
      </c>
      <c r="E7">
        <v>8091</v>
      </c>
    </row>
    <row r="8" spans="1:5" x14ac:dyDescent="0.25">
      <c r="A8" s="13">
        <v>2</v>
      </c>
      <c r="B8" s="8" t="s">
        <v>1289</v>
      </c>
      <c r="C8" s="21">
        <v>41372</v>
      </c>
      <c r="D8" s="21" t="s">
        <v>1116</v>
      </c>
      <c r="E8">
        <v>8091</v>
      </c>
    </row>
    <row r="9" spans="1:5" x14ac:dyDescent="0.25">
      <c r="A9" s="13"/>
      <c r="B9" s="8"/>
      <c r="D9" s="21"/>
    </row>
    <row r="10" spans="1:5" x14ac:dyDescent="0.25">
      <c r="A10" s="13"/>
      <c r="B10" s="8"/>
      <c r="D10" s="21"/>
    </row>
    <row r="11" spans="1:5" x14ac:dyDescent="0.25">
      <c r="A11" s="13"/>
      <c r="B11" s="8"/>
    </row>
    <row r="12" spans="1:5" x14ac:dyDescent="0.25">
      <c r="A12" s="13"/>
      <c r="B12" s="8"/>
    </row>
    <row r="13" spans="1:5" x14ac:dyDescent="0.25">
      <c r="A13" s="13"/>
      <c r="B13" s="8"/>
    </row>
    <row r="14" spans="1:5" x14ac:dyDescent="0.25">
      <c r="A14" s="13"/>
      <c r="B14" s="8"/>
    </row>
    <row r="15" spans="1:5" x14ac:dyDescent="0.25">
      <c r="A15" s="13"/>
      <c r="B15" s="8"/>
    </row>
    <row r="16" spans="1:5" x14ac:dyDescent="0.25">
      <c r="A16" s="13"/>
      <c r="B16" s="8"/>
    </row>
    <row r="17" spans="1:2" x14ac:dyDescent="0.25">
      <c r="A17" s="13"/>
      <c r="B17" s="8"/>
    </row>
    <row r="18" spans="1:2" x14ac:dyDescent="0.25">
      <c r="A18" s="13"/>
      <c r="B18" s="8"/>
    </row>
    <row r="19" spans="1:2" x14ac:dyDescent="0.25">
      <c r="A19" s="13"/>
      <c r="B19" s="8"/>
    </row>
    <row r="20" spans="1:2" x14ac:dyDescent="0.25">
      <c r="A20" s="13"/>
      <c r="B20" s="8"/>
    </row>
    <row r="21" spans="1:2" x14ac:dyDescent="0.25">
      <c r="A21" s="13"/>
      <c r="B21" s="8"/>
    </row>
    <row r="22" spans="1:2" x14ac:dyDescent="0.25">
      <c r="A22" s="13"/>
      <c r="B22" s="8"/>
    </row>
    <row r="23" spans="1:2" x14ac:dyDescent="0.25">
      <c r="A23" s="13"/>
      <c r="B23" s="8"/>
    </row>
    <row r="24" spans="1:2" x14ac:dyDescent="0.25">
      <c r="A24" s="13"/>
      <c r="B24" s="8"/>
    </row>
    <row r="25" spans="1:2" x14ac:dyDescent="0.25">
      <c r="A25" s="13"/>
      <c r="B25" s="8"/>
    </row>
    <row r="26" spans="1:2" x14ac:dyDescent="0.25">
      <c r="A26" s="13"/>
      <c r="B26" s="8"/>
    </row>
    <row r="27" spans="1:2" x14ac:dyDescent="0.25">
      <c r="A27" s="13"/>
      <c r="B27" s="8"/>
    </row>
    <row r="28" spans="1:2" x14ac:dyDescent="0.25">
      <c r="A28" s="13"/>
      <c r="B28" s="8"/>
    </row>
    <row r="29" spans="1:2" x14ac:dyDescent="0.25">
      <c r="A29" s="13"/>
      <c r="B29" s="8"/>
    </row>
    <row r="30" spans="1:2" x14ac:dyDescent="0.25">
      <c r="A30" s="13"/>
      <c r="B30" s="8"/>
    </row>
    <row r="31" spans="1:2" x14ac:dyDescent="0.25">
      <c r="A31" s="13"/>
      <c r="B31" s="8"/>
    </row>
    <row r="32" spans="1:2" x14ac:dyDescent="0.25">
      <c r="A32" s="13"/>
      <c r="B32" s="8"/>
    </row>
    <row r="33" spans="1:2" x14ac:dyDescent="0.25">
      <c r="A33" s="13"/>
      <c r="B33" s="8"/>
    </row>
    <row r="34" spans="1:2" x14ac:dyDescent="0.25">
      <c r="A34" s="13"/>
      <c r="B34" s="8"/>
    </row>
    <row r="35" spans="1:2" x14ac:dyDescent="0.25">
      <c r="A35" s="13"/>
    </row>
    <row r="36" spans="1:2" x14ac:dyDescent="0.25">
      <c r="A36" s="13"/>
    </row>
    <row r="37" spans="1:2" x14ac:dyDescent="0.25">
      <c r="A37" s="13"/>
    </row>
    <row r="38" spans="1:2" x14ac:dyDescent="0.25">
      <c r="A38" s="13"/>
    </row>
    <row r="39" spans="1:2" x14ac:dyDescent="0.25">
      <c r="A39" s="13"/>
    </row>
    <row r="40" spans="1:2" x14ac:dyDescent="0.25">
      <c r="A40" s="13"/>
    </row>
    <row r="41" spans="1:2" x14ac:dyDescent="0.25">
      <c r="A41" s="13"/>
    </row>
    <row r="42" spans="1:2" x14ac:dyDescent="0.25">
      <c r="A42" s="13"/>
    </row>
    <row r="43" spans="1:2" x14ac:dyDescent="0.25">
      <c r="A43" s="13"/>
    </row>
    <row r="44" spans="1:2" x14ac:dyDescent="0.25">
      <c r="A44" s="13"/>
    </row>
    <row r="45" spans="1:2" x14ac:dyDescent="0.25">
      <c r="A45" s="13"/>
    </row>
    <row r="46" spans="1:2" x14ac:dyDescent="0.25">
      <c r="A46" s="13"/>
    </row>
    <row r="47" spans="1:2" x14ac:dyDescent="0.25">
      <c r="A47" s="13"/>
    </row>
    <row r="48" spans="1:2" x14ac:dyDescent="0.25">
      <c r="A48" s="13"/>
    </row>
    <row r="49" spans="1:1" x14ac:dyDescent="0.25">
      <c r="A49" s="13"/>
    </row>
    <row r="50" spans="1:1" x14ac:dyDescent="0.25">
      <c r="A50" s="13"/>
    </row>
    <row r="51" spans="1:1" x14ac:dyDescent="0.25">
      <c r="A51" s="13"/>
    </row>
    <row r="52" spans="1:1" x14ac:dyDescent="0.25">
      <c r="A52" s="13"/>
    </row>
    <row r="53" spans="1:1" x14ac:dyDescent="0.25">
      <c r="A53" s="13"/>
    </row>
    <row r="54" spans="1:1" x14ac:dyDescent="0.25">
      <c r="A54" s="13"/>
    </row>
    <row r="55" spans="1:1" x14ac:dyDescent="0.25">
      <c r="A55" s="13"/>
    </row>
    <row r="56" spans="1:1" x14ac:dyDescent="0.25">
      <c r="A56" s="13"/>
    </row>
    <row r="57" spans="1:1" x14ac:dyDescent="0.25">
      <c r="A57" s="13"/>
    </row>
    <row r="58" spans="1:1" x14ac:dyDescent="0.25">
      <c r="A58" s="13"/>
    </row>
    <row r="59" spans="1:1" x14ac:dyDescent="0.25">
      <c r="A59" s="13"/>
    </row>
    <row r="60" spans="1:1" x14ac:dyDescent="0.25">
      <c r="A60" s="13"/>
    </row>
    <row r="61" spans="1:1" x14ac:dyDescent="0.25">
      <c r="A61" s="13"/>
    </row>
    <row r="62" spans="1:1" x14ac:dyDescent="0.25">
      <c r="A62" s="13"/>
    </row>
    <row r="63" spans="1:1" x14ac:dyDescent="0.25">
      <c r="A63" s="13"/>
    </row>
    <row r="64" spans="1:1" x14ac:dyDescent="0.25">
      <c r="A64" s="13"/>
    </row>
    <row r="65" spans="1:1" x14ac:dyDescent="0.25">
      <c r="A65" s="13"/>
    </row>
    <row r="66" spans="1:1" x14ac:dyDescent="0.25">
      <c r="A66" s="13"/>
    </row>
    <row r="67" spans="1:1" x14ac:dyDescent="0.25">
      <c r="A67" s="13"/>
    </row>
    <row r="68" spans="1:1" x14ac:dyDescent="0.25">
      <c r="A68" s="13"/>
    </row>
    <row r="69" spans="1:1" x14ac:dyDescent="0.25">
      <c r="A69" s="13"/>
    </row>
    <row r="70" spans="1:1" x14ac:dyDescent="0.25">
      <c r="A70" s="13"/>
    </row>
    <row r="71" spans="1:1" x14ac:dyDescent="0.25">
      <c r="A71" s="13"/>
    </row>
    <row r="72" spans="1:1" x14ac:dyDescent="0.25">
      <c r="A72" s="13"/>
    </row>
    <row r="73" spans="1:1" x14ac:dyDescent="0.25">
      <c r="A73" s="13"/>
    </row>
    <row r="74" spans="1:1" x14ac:dyDescent="0.25">
      <c r="A74" s="13"/>
    </row>
    <row r="75" spans="1:1" x14ac:dyDescent="0.25">
      <c r="A75" s="13"/>
    </row>
    <row r="76" spans="1:1" x14ac:dyDescent="0.25">
      <c r="A76" s="13"/>
    </row>
    <row r="77" spans="1:1" x14ac:dyDescent="0.25">
      <c r="A77" s="13"/>
    </row>
    <row r="78" spans="1:1" x14ac:dyDescent="0.25">
      <c r="A78" s="13"/>
    </row>
    <row r="79" spans="1:1" x14ac:dyDescent="0.25">
      <c r="A79" s="13"/>
    </row>
    <row r="80" spans="1:1" x14ac:dyDescent="0.25">
      <c r="A80" s="13"/>
    </row>
    <row r="81" spans="1:1" x14ac:dyDescent="0.25">
      <c r="A81" s="13"/>
    </row>
    <row r="82" spans="1:1" x14ac:dyDescent="0.25">
      <c r="A82" s="13"/>
    </row>
    <row r="83" spans="1:1" x14ac:dyDescent="0.25">
      <c r="A83" s="13"/>
    </row>
    <row r="84" spans="1:1" x14ac:dyDescent="0.25">
      <c r="A84" s="13"/>
    </row>
    <row r="85" spans="1:1" x14ac:dyDescent="0.25">
      <c r="A85" s="13"/>
    </row>
    <row r="86" spans="1:1" x14ac:dyDescent="0.25">
      <c r="A86" s="13"/>
    </row>
    <row r="87" spans="1:1" x14ac:dyDescent="0.25">
      <c r="A87" s="13"/>
    </row>
    <row r="88" spans="1:1" x14ac:dyDescent="0.25">
      <c r="A88" s="13"/>
    </row>
    <row r="89" spans="1:1" x14ac:dyDescent="0.25">
      <c r="A89" s="13"/>
    </row>
    <row r="90" spans="1:1" x14ac:dyDescent="0.25">
      <c r="A90" s="13"/>
    </row>
    <row r="91" spans="1:1" x14ac:dyDescent="0.25">
      <c r="A91" s="13"/>
    </row>
    <row r="92" spans="1:1" x14ac:dyDescent="0.25">
      <c r="A92" s="13"/>
    </row>
    <row r="93" spans="1:1" x14ac:dyDescent="0.25">
      <c r="A93" s="13"/>
    </row>
    <row r="94" spans="1:1" x14ac:dyDescent="0.25">
      <c r="A94" s="13"/>
    </row>
    <row r="95" spans="1:1" x14ac:dyDescent="0.25">
      <c r="A95" s="13"/>
    </row>
    <row r="96" spans="1:1" x14ac:dyDescent="0.25">
      <c r="A96" s="13"/>
    </row>
    <row r="97" spans="1:1" x14ac:dyDescent="0.25">
      <c r="A97" s="13"/>
    </row>
    <row r="98" spans="1:1" x14ac:dyDescent="0.25">
      <c r="A98" s="13"/>
    </row>
    <row r="99" spans="1:1" x14ac:dyDescent="0.25">
      <c r="A99" s="13"/>
    </row>
    <row r="100" spans="1:1" x14ac:dyDescent="0.25">
      <c r="A100" s="13"/>
    </row>
    <row r="101" spans="1:1" x14ac:dyDescent="0.25">
      <c r="A101" s="13"/>
    </row>
    <row r="102" spans="1:1" x14ac:dyDescent="0.25">
      <c r="A102" s="13"/>
    </row>
    <row r="103" spans="1:1" x14ac:dyDescent="0.25">
      <c r="A103" s="13"/>
    </row>
    <row r="104" spans="1:1" x14ac:dyDescent="0.25">
      <c r="A104" s="13"/>
    </row>
    <row r="105" spans="1:1" x14ac:dyDescent="0.25">
      <c r="A105" s="13"/>
    </row>
    <row r="106" spans="1:1" x14ac:dyDescent="0.25">
      <c r="A106" s="13"/>
    </row>
    <row r="107" spans="1:1" x14ac:dyDescent="0.25">
      <c r="A107" s="13"/>
    </row>
    <row r="108" spans="1:1" x14ac:dyDescent="0.25">
      <c r="A108" s="13"/>
    </row>
    <row r="109" spans="1:1" x14ac:dyDescent="0.25">
      <c r="A109" s="13"/>
    </row>
    <row r="110" spans="1:1" x14ac:dyDescent="0.25">
      <c r="A110" s="13"/>
    </row>
    <row r="111" spans="1:1" x14ac:dyDescent="0.25">
      <c r="A111" s="13"/>
    </row>
    <row r="112" spans="1:1" x14ac:dyDescent="0.25">
      <c r="A112" s="13"/>
    </row>
    <row r="113" spans="1:1" x14ac:dyDescent="0.25">
      <c r="A113" s="13"/>
    </row>
    <row r="114" spans="1:1" x14ac:dyDescent="0.25">
      <c r="A114" s="13"/>
    </row>
    <row r="115" spans="1:1" x14ac:dyDescent="0.25">
      <c r="A115" s="13"/>
    </row>
    <row r="116" spans="1:1" x14ac:dyDescent="0.25">
      <c r="A116" s="13"/>
    </row>
    <row r="117" spans="1:1" x14ac:dyDescent="0.25">
      <c r="A117" s="13"/>
    </row>
    <row r="118" spans="1:1" x14ac:dyDescent="0.25">
      <c r="A118" s="13"/>
    </row>
    <row r="119" spans="1:1" x14ac:dyDescent="0.25">
      <c r="A119" s="13"/>
    </row>
    <row r="120" spans="1:1" x14ac:dyDescent="0.25">
      <c r="A120" s="13"/>
    </row>
    <row r="121" spans="1:1" x14ac:dyDescent="0.25">
      <c r="A121" s="13"/>
    </row>
    <row r="122" spans="1:1" x14ac:dyDescent="0.25">
      <c r="A122" s="13"/>
    </row>
    <row r="123" spans="1:1" x14ac:dyDescent="0.25">
      <c r="A123" s="13"/>
    </row>
    <row r="124" spans="1:1" x14ac:dyDescent="0.25">
      <c r="A124" s="13"/>
    </row>
    <row r="125" spans="1:1" x14ac:dyDescent="0.25">
      <c r="A125" s="13"/>
    </row>
    <row r="126" spans="1:1" x14ac:dyDescent="0.25">
      <c r="A126" s="13"/>
    </row>
    <row r="127" spans="1:1" x14ac:dyDescent="0.25">
      <c r="A127" s="13"/>
    </row>
    <row r="128" spans="1:1" x14ac:dyDescent="0.25">
      <c r="A128" s="13"/>
    </row>
    <row r="129" spans="1:1" x14ac:dyDescent="0.25">
      <c r="A129" s="13"/>
    </row>
    <row r="130" spans="1:1" x14ac:dyDescent="0.25">
      <c r="A130" s="13"/>
    </row>
    <row r="131" spans="1:1" x14ac:dyDescent="0.25">
      <c r="A131" s="13"/>
    </row>
    <row r="132" spans="1:1" x14ac:dyDescent="0.25">
      <c r="A132" s="13"/>
    </row>
    <row r="133" spans="1:1" x14ac:dyDescent="0.25">
      <c r="A133" s="13"/>
    </row>
    <row r="134" spans="1:1" x14ac:dyDescent="0.25">
      <c r="A134" s="13"/>
    </row>
    <row r="135" spans="1:1" x14ac:dyDescent="0.25">
      <c r="A135" s="13"/>
    </row>
    <row r="136" spans="1:1" x14ac:dyDescent="0.25">
      <c r="A136" s="13"/>
    </row>
    <row r="137" spans="1:1" x14ac:dyDescent="0.25">
      <c r="A137" s="13"/>
    </row>
    <row r="138" spans="1:1" x14ac:dyDescent="0.25">
      <c r="A138" s="13"/>
    </row>
    <row r="139" spans="1:1" x14ac:dyDescent="0.25">
      <c r="A139" s="13"/>
    </row>
    <row r="140" spans="1:1" x14ac:dyDescent="0.25">
      <c r="A140" s="13"/>
    </row>
    <row r="141" spans="1:1" x14ac:dyDescent="0.25">
      <c r="A141" s="13"/>
    </row>
    <row r="142" spans="1:1" x14ac:dyDescent="0.25">
      <c r="A142" s="13"/>
    </row>
    <row r="143" spans="1:1" x14ac:dyDescent="0.25">
      <c r="A143" s="13"/>
    </row>
    <row r="144" spans="1:1" x14ac:dyDescent="0.25">
      <c r="A144" s="13"/>
    </row>
    <row r="145" spans="1:1" x14ac:dyDescent="0.25">
      <c r="A145" s="13"/>
    </row>
    <row r="146" spans="1:1" x14ac:dyDescent="0.25">
      <c r="A146" s="13"/>
    </row>
    <row r="147" spans="1:1" x14ac:dyDescent="0.25">
      <c r="A147" s="13"/>
    </row>
    <row r="148" spans="1:1" x14ac:dyDescent="0.25">
      <c r="A148" s="13"/>
    </row>
    <row r="149" spans="1:1" x14ac:dyDescent="0.25">
      <c r="A149" s="13"/>
    </row>
    <row r="150" spans="1:1" x14ac:dyDescent="0.25">
      <c r="A150" s="13"/>
    </row>
    <row r="151" spans="1:1" x14ac:dyDescent="0.25">
      <c r="A151" s="13"/>
    </row>
    <row r="152" spans="1:1" x14ac:dyDescent="0.25">
      <c r="A152" s="13"/>
    </row>
    <row r="153" spans="1:1" x14ac:dyDescent="0.25">
      <c r="A153" s="13"/>
    </row>
    <row r="154" spans="1:1" x14ac:dyDescent="0.25">
      <c r="A154" s="13"/>
    </row>
    <row r="155" spans="1:1" x14ac:dyDescent="0.25">
      <c r="A155" s="13"/>
    </row>
    <row r="156" spans="1:1" x14ac:dyDescent="0.25">
      <c r="A156" s="13"/>
    </row>
    <row r="157" spans="1:1" x14ac:dyDescent="0.25">
      <c r="A157" s="13"/>
    </row>
    <row r="158" spans="1:1" x14ac:dyDescent="0.25">
      <c r="A158" s="13"/>
    </row>
    <row r="159" spans="1:1" x14ac:dyDescent="0.25">
      <c r="A159" s="13"/>
    </row>
    <row r="160" spans="1:1" x14ac:dyDescent="0.25">
      <c r="A160" s="13"/>
    </row>
    <row r="161" spans="1:1" x14ac:dyDescent="0.25">
      <c r="A161" s="13"/>
    </row>
    <row r="162" spans="1:1" x14ac:dyDescent="0.25">
      <c r="A162" s="13"/>
    </row>
    <row r="163" spans="1:1" x14ac:dyDescent="0.25">
      <c r="A163" s="13"/>
    </row>
    <row r="164" spans="1:1" x14ac:dyDescent="0.25">
      <c r="A164" s="13"/>
    </row>
    <row r="165" spans="1:1" x14ac:dyDescent="0.25">
      <c r="A165" s="13"/>
    </row>
    <row r="166" spans="1:1" x14ac:dyDescent="0.25">
      <c r="A166" s="13"/>
    </row>
    <row r="167" spans="1:1" x14ac:dyDescent="0.25">
      <c r="A167" s="13"/>
    </row>
    <row r="168" spans="1:1" x14ac:dyDescent="0.25">
      <c r="A168" s="13"/>
    </row>
    <row r="169" spans="1:1" x14ac:dyDescent="0.25">
      <c r="A169" s="13"/>
    </row>
    <row r="170" spans="1:1" x14ac:dyDescent="0.25">
      <c r="A170" s="13"/>
    </row>
    <row r="171" spans="1:1" x14ac:dyDescent="0.25">
      <c r="A171" s="13"/>
    </row>
    <row r="172" spans="1:1" x14ac:dyDescent="0.25">
      <c r="A172" s="13"/>
    </row>
    <row r="173" spans="1:1" x14ac:dyDescent="0.25">
      <c r="A173" s="13"/>
    </row>
    <row r="174" spans="1:1" x14ac:dyDescent="0.25">
      <c r="A174" s="13"/>
    </row>
    <row r="175" spans="1:1" x14ac:dyDescent="0.25">
      <c r="A175" s="13"/>
    </row>
    <row r="176" spans="1:1" x14ac:dyDescent="0.25">
      <c r="A176" s="13"/>
    </row>
    <row r="177" spans="1:1" x14ac:dyDescent="0.25">
      <c r="A177" s="13"/>
    </row>
    <row r="178" spans="1:1" x14ac:dyDescent="0.25">
      <c r="A178" s="13"/>
    </row>
    <row r="179" spans="1:1" x14ac:dyDescent="0.25">
      <c r="A179" s="13"/>
    </row>
    <row r="180" spans="1:1" x14ac:dyDescent="0.25">
      <c r="A180" s="13"/>
    </row>
    <row r="181" spans="1:1" x14ac:dyDescent="0.25">
      <c r="A181" s="13"/>
    </row>
    <row r="182" spans="1:1" x14ac:dyDescent="0.25">
      <c r="A182" s="13"/>
    </row>
    <row r="183" spans="1:1" x14ac:dyDescent="0.25">
      <c r="A183" s="13"/>
    </row>
    <row r="184" spans="1:1" x14ac:dyDescent="0.25">
      <c r="A184" s="13"/>
    </row>
    <row r="185" spans="1:1" x14ac:dyDescent="0.25">
      <c r="A185" s="13"/>
    </row>
    <row r="186" spans="1:1" x14ac:dyDescent="0.25">
      <c r="A186" s="13"/>
    </row>
    <row r="187" spans="1:1" x14ac:dyDescent="0.25">
      <c r="A187" s="13"/>
    </row>
    <row r="188" spans="1:1" x14ac:dyDescent="0.25">
      <c r="A188" s="13"/>
    </row>
    <row r="189" spans="1:1" x14ac:dyDescent="0.25">
      <c r="A189" s="13"/>
    </row>
    <row r="190" spans="1:1" x14ac:dyDescent="0.25">
      <c r="A190" s="13"/>
    </row>
    <row r="191" spans="1:1" x14ac:dyDescent="0.25">
      <c r="A191" s="13"/>
    </row>
    <row r="192" spans="1:1" x14ac:dyDescent="0.25">
      <c r="A192" s="13"/>
    </row>
    <row r="193" spans="1:1" x14ac:dyDescent="0.25">
      <c r="A193" s="13"/>
    </row>
    <row r="194" spans="1:1" x14ac:dyDescent="0.25">
      <c r="A194" s="13"/>
    </row>
    <row r="195" spans="1:1" x14ac:dyDescent="0.25">
      <c r="A195" s="13"/>
    </row>
    <row r="196" spans="1:1" x14ac:dyDescent="0.25">
      <c r="A196" s="13"/>
    </row>
    <row r="197" spans="1:1" x14ac:dyDescent="0.25">
      <c r="A197" s="13"/>
    </row>
    <row r="198" spans="1:1" x14ac:dyDescent="0.25">
      <c r="A198" s="13"/>
    </row>
    <row r="199" spans="1:1" x14ac:dyDescent="0.25">
      <c r="A199" s="13"/>
    </row>
    <row r="200" spans="1:1" x14ac:dyDescent="0.25">
      <c r="A200" s="13"/>
    </row>
    <row r="201" spans="1:1" x14ac:dyDescent="0.25">
      <c r="A201" s="13"/>
    </row>
    <row r="202" spans="1:1" x14ac:dyDescent="0.25">
      <c r="A202" s="13"/>
    </row>
    <row r="203" spans="1:1" x14ac:dyDescent="0.25">
      <c r="A203" s="13"/>
    </row>
    <row r="204" spans="1:1" x14ac:dyDescent="0.25">
      <c r="A204" s="13"/>
    </row>
    <row r="205" spans="1:1" x14ac:dyDescent="0.25">
      <c r="A205" s="13"/>
    </row>
    <row r="206" spans="1:1" x14ac:dyDescent="0.25">
      <c r="A206" s="13"/>
    </row>
    <row r="207" spans="1:1" x14ac:dyDescent="0.25">
      <c r="A207" s="13"/>
    </row>
    <row r="208" spans="1:1" x14ac:dyDescent="0.25">
      <c r="A208" s="13"/>
    </row>
    <row r="209" spans="1:1" x14ac:dyDescent="0.25">
      <c r="A209" s="13"/>
    </row>
    <row r="210" spans="1:1" x14ac:dyDescent="0.25">
      <c r="A210" s="13"/>
    </row>
    <row r="211" spans="1:1" x14ac:dyDescent="0.25">
      <c r="A211" s="13"/>
    </row>
    <row r="212" spans="1:1" x14ac:dyDescent="0.25">
      <c r="A212" s="13"/>
    </row>
    <row r="213" spans="1:1" x14ac:dyDescent="0.25">
      <c r="A213" s="13"/>
    </row>
    <row r="214" spans="1:1" x14ac:dyDescent="0.25">
      <c r="A214" s="13"/>
    </row>
    <row r="215" spans="1:1" x14ac:dyDescent="0.25">
      <c r="A215" s="13"/>
    </row>
    <row r="216" spans="1:1" x14ac:dyDescent="0.25">
      <c r="A216" s="13"/>
    </row>
    <row r="217" spans="1:1" x14ac:dyDescent="0.25">
      <c r="A217" s="13"/>
    </row>
    <row r="218" spans="1:1" x14ac:dyDescent="0.25">
      <c r="A218" s="13"/>
    </row>
    <row r="219" spans="1:1" x14ac:dyDescent="0.25">
      <c r="A219" s="13"/>
    </row>
    <row r="220" spans="1:1" x14ac:dyDescent="0.25">
      <c r="A220" s="13"/>
    </row>
    <row r="221" spans="1:1" x14ac:dyDescent="0.25">
      <c r="A221" s="13"/>
    </row>
    <row r="222" spans="1:1" x14ac:dyDescent="0.25">
      <c r="A222" s="13"/>
    </row>
    <row r="223" spans="1:1" x14ac:dyDescent="0.25">
      <c r="A223" s="13"/>
    </row>
    <row r="224" spans="1:1" x14ac:dyDescent="0.25">
      <c r="A224" s="13"/>
    </row>
    <row r="225" spans="1:1" x14ac:dyDescent="0.25">
      <c r="A225" s="13"/>
    </row>
    <row r="226" spans="1:1" x14ac:dyDescent="0.25">
      <c r="A226" s="13"/>
    </row>
    <row r="227" spans="1:1" x14ac:dyDescent="0.25">
      <c r="A227" s="13"/>
    </row>
    <row r="228" spans="1:1" x14ac:dyDescent="0.25">
      <c r="A228" s="13"/>
    </row>
    <row r="229" spans="1:1" x14ac:dyDescent="0.25">
      <c r="A229" s="13"/>
    </row>
    <row r="230" spans="1:1" x14ac:dyDescent="0.25">
      <c r="A230" s="13"/>
    </row>
    <row r="231" spans="1:1" x14ac:dyDescent="0.25">
      <c r="A231" s="13"/>
    </row>
    <row r="232" spans="1:1" x14ac:dyDescent="0.25">
      <c r="A232" s="13"/>
    </row>
    <row r="233" spans="1:1" x14ac:dyDescent="0.25">
      <c r="A233" s="13"/>
    </row>
    <row r="234" spans="1:1" x14ac:dyDescent="0.25">
      <c r="A234" s="13"/>
    </row>
    <row r="235" spans="1:1" x14ac:dyDescent="0.25">
      <c r="A235" s="13"/>
    </row>
    <row r="236" spans="1:1" x14ac:dyDescent="0.25">
      <c r="A236" s="13"/>
    </row>
    <row r="237" spans="1:1" x14ac:dyDescent="0.25">
      <c r="A237" s="13"/>
    </row>
    <row r="238" spans="1:1" x14ac:dyDescent="0.25">
      <c r="A238" s="13"/>
    </row>
    <row r="239" spans="1:1" x14ac:dyDescent="0.25">
      <c r="A239" s="13"/>
    </row>
    <row r="240" spans="1:1" x14ac:dyDescent="0.25">
      <c r="A240" s="13"/>
    </row>
    <row r="241" spans="1:1" x14ac:dyDescent="0.25">
      <c r="A241" s="13"/>
    </row>
    <row r="242" spans="1:1" x14ac:dyDescent="0.25">
      <c r="A242" s="13"/>
    </row>
    <row r="243" spans="1:1" x14ac:dyDescent="0.25">
      <c r="A243" s="13"/>
    </row>
    <row r="244" spans="1:1" x14ac:dyDescent="0.25">
      <c r="A244" s="13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  <row r="250" spans="1:1" x14ac:dyDescent="0.25">
      <c r="A250" s="13"/>
    </row>
    <row r="251" spans="1:1" x14ac:dyDescent="0.25">
      <c r="A251" s="13"/>
    </row>
    <row r="252" spans="1:1" x14ac:dyDescent="0.25">
      <c r="A252" s="13"/>
    </row>
    <row r="253" spans="1:1" x14ac:dyDescent="0.25">
      <c r="A253" s="13"/>
    </row>
    <row r="254" spans="1:1" x14ac:dyDescent="0.25">
      <c r="A254" s="13"/>
    </row>
    <row r="255" spans="1:1" x14ac:dyDescent="0.25">
      <c r="A255" s="13"/>
    </row>
    <row r="256" spans="1:1" x14ac:dyDescent="0.25">
      <c r="A256" s="13"/>
    </row>
    <row r="257" spans="1:1" x14ac:dyDescent="0.25">
      <c r="A257" s="13"/>
    </row>
    <row r="258" spans="1:1" x14ac:dyDescent="0.25">
      <c r="A258" s="13"/>
    </row>
    <row r="259" spans="1:1" x14ac:dyDescent="0.25">
      <c r="A259" s="13"/>
    </row>
    <row r="260" spans="1:1" x14ac:dyDescent="0.25">
      <c r="A260" s="13"/>
    </row>
    <row r="261" spans="1:1" x14ac:dyDescent="0.25">
      <c r="A261" s="13"/>
    </row>
    <row r="262" spans="1:1" x14ac:dyDescent="0.25">
      <c r="A262" s="13"/>
    </row>
    <row r="263" spans="1:1" x14ac:dyDescent="0.25">
      <c r="A263" s="13"/>
    </row>
    <row r="264" spans="1:1" x14ac:dyDescent="0.25">
      <c r="A264" s="13"/>
    </row>
    <row r="265" spans="1:1" x14ac:dyDescent="0.25">
      <c r="A265" s="13"/>
    </row>
    <row r="266" spans="1:1" x14ac:dyDescent="0.25">
      <c r="A266" s="13"/>
    </row>
    <row r="267" spans="1:1" x14ac:dyDescent="0.25">
      <c r="A267" s="13"/>
    </row>
    <row r="268" spans="1:1" x14ac:dyDescent="0.25">
      <c r="A268" s="13"/>
    </row>
    <row r="269" spans="1:1" x14ac:dyDescent="0.25">
      <c r="A269" s="13"/>
    </row>
    <row r="270" spans="1:1" x14ac:dyDescent="0.25">
      <c r="A270" s="13"/>
    </row>
    <row r="271" spans="1:1" x14ac:dyDescent="0.25">
      <c r="A271" s="13"/>
    </row>
    <row r="272" spans="1:1" x14ac:dyDescent="0.25">
      <c r="A272" s="13"/>
    </row>
    <row r="273" spans="1:1" x14ac:dyDescent="0.25">
      <c r="A273" s="13"/>
    </row>
    <row r="274" spans="1:1" x14ac:dyDescent="0.25">
      <c r="A274" s="13"/>
    </row>
    <row r="275" spans="1:1" x14ac:dyDescent="0.25">
      <c r="A275" s="13"/>
    </row>
    <row r="276" spans="1:1" x14ac:dyDescent="0.25">
      <c r="A276" s="13"/>
    </row>
    <row r="277" spans="1:1" x14ac:dyDescent="0.25">
      <c r="A277" s="13"/>
    </row>
    <row r="278" spans="1:1" x14ac:dyDescent="0.25">
      <c r="A278" s="13"/>
    </row>
    <row r="279" spans="1:1" x14ac:dyDescent="0.25">
      <c r="A279" s="13"/>
    </row>
    <row r="280" spans="1:1" x14ac:dyDescent="0.25">
      <c r="A280" s="13"/>
    </row>
    <row r="281" spans="1:1" x14ac:dyDescent="0.25">
      <c r="A281" s="13"/>
    </row>
    <row r="282" spans="1:1" x14ac:dyDescent="0.25">
      <c r="A282" s="13"/>
    </row>
    <row r="283" spans="1:1" x14ac:dyDescent="0.25">
      <c r="A283" s="13"/>
    </row>
    <row r="284" spans="1:1" x14ac:dyDescent="0.25">
      <c r="A284" s="13"/>
    </row>
    <row r="285" spans="1:1" x14ac:dyDescent="0.25">
      <c r="A285" s="13"/>
    </row>
    <row r="286" spans="1:1" x14ac:dyDescent="0.25">
      <c r="A286" s="13"/>
    </row>
    <row r="287" spans="1:1" x14ac:dyDescent="0.25">
      <c r="A287" s="13"/>
    </row>
    <row r="288" spans="1:1" x14ac:dyDescent="0.25">
      <c r="A288" s="13"/>
    </row>
    <row r="289" spans="1:1" x14ac:dyDescent="0.25">
      <c r="A289" s="13"/>
    </row>
    <row r="290" spans="1:1" x14ac:dyDescent="0.25">
      <c r="A290" s="13"/>
    </row>
    <row r="291" spans="1:1" x14ac:dyDescent="0.25">
      <c r="A291" s="13"/>
    </row>
    <row r="292" spans="1:1" x14ac:dyDescent="0.25">
      <c r="A292" s="13"/>
    </row>
    <row r="293" spans="1:1" x14ac:dyDescent="0.25">
      <c r="A293" s="13"/>
    </row>
    <row r="294" spans="1:1" x14ac:dyDescent="0.25">
      <c r="A294" s="13"/>
    </row>
    <row r="295" spans="1:1" x14ac:dyDescent="0.25">
      <c r="A295" s="13"/>
    </row>
    <row r="296" spans="1:1" x14ac:dyDescent="0.25">
      <c r="A296" s="13"/>
    </row>
    <row r="297" spans="1:1" x14ac:dyDescent="0.25">
      <c r="A297" s="13"/>
    </row>
    <row r="298" spans="1:1" x14ac:dyDescent="0.25">
      <c r="A298" s="13"/>
    </row>
    <row r="299" spans="1:1" x14ac:dyDescent="0.25">
      <c r="A299" s="13"/>
    </row>
    <row r="300" spans="1:1" x14ac:dyDescent="0.25">
      <c r="A300" s="13"/>
    </row>
    <row r="301" spans="1:1" x14ac:dyDescent="0.25">
      <c r="A301" s="13"/>
    </row>
    <row r="302" spans="1:1" x14ac:dyDescent="0.25">
      <c r="A302" s="13"/>
    </row>
    <row r="303" spans="1:1" x14ac:dyDescent="0.25">
      <c r="A303" s="13"/>
    </row>
    <row r="304" spans="1:1" x14ac:dyDescent="0.25">
      <c r="A304" s="13"/>
    </row>
    <row r="305" spans="1:1" x14ac:dyDescent="0.25">
      <c r="A305" s="13"/>
    </row>
    <row r="306" spans="1:1" x14ac:dyDescent="0.25">
      <c r="A306" s="13"/>
    </row>
    <row r="307" spans="1:1" x14ac:dyDescent="0.25">
      <c r="A307" s="13"/>
    </row>
    <row r="308" spans="1:1" x14ac:dyDescent="0.25">
      <c r="A308" s="13"/>
    </row>
    <row r="309" spans="1:1" x14ac:dyDescent="0.25">
      <c r="A309" s="13"/>
    </row>
    <row r="310" spans="1:1" x14ac:dyDescent="0.25">
      <c r="A310" s="13"/>
    </row>
    <row r="311" spans="1:1" x14ac:dyDescent="0.25">
      <c r="A311" s="13"/>
    </row>
    <row r="312" spans="1:1" x14ac:dyDescent="0.25">
      <c r="A312" s="13"/>
    </row>
    <row r="313" spans="1:1" x14ac:dyDescent="0.25">
      <c r="A313" s="13"/>
    </row>
    <row r="314" spans="1:1" x14ac:dyDescent="0.25">
      <c r="A314" s="13"/>
    </row>
    <row r="315" spans="1:1" x14ac:dyDescent="0.25">
      <c r="A315" s="13"/>
    </row>
    <row r="316" spans="1:1" x14ac:dyDescent="0.25">
      <c r="A316" s="13"/>
    </row>
    <row r="317" spans="1:1" x14ac:dyDescent="0.25">
      <c r="A317" s="13"/>
    </row>
    <row r="318" spans="1:1" x14ac:dyDescent="0.25">
      <c r="A318" s="13"/>
    </row>
    <row r="319" spans="1:1" x14ac:dyDescent="0.25">
      <c r="A319" s="13"/>
    </row>
    <row r="320" spans="1:1" x14ac:dyDescent="0.25">
      <c r="A320" s="13"/>
    </row>
    <row r="321" spans="1:1" x14ac:dyDescent="0.25">
      <c r="A321" s="13"/>
    </row>
    <row r="322" spans="1:1" x14ac:dyDescent="0.25">
      <c r="A322" s="13"/>
    </row>
    <row r="323" spans="1:1" x14ac:dyDescent="0.25">
      <c r="A323" s="13"/>
    </row>
    <row r="324" spans="1:1" x14ac:dyDescent="0.25">
      <c r="A324" s="13"/>
    </row>
    <row r="325" spans="1:1" x14ac:dyDescent="0.25">
      <c r="A325" s="13"/>
    </row>
    <row r="326" spans="1:1" x14ac:dyDescent="0.25">
      <c r="A326" s="13"/>
    </row>
    <row r="327" spans="1:1" x14ac:dyDescent="0.25">
      <c r="A327" s="13"/>
    </row>
    <row r="328" spans="1:1" x14ac:dyDescent="0.25">
      <c r="A328" s="13"/>
    </row>
    <row r="329" spans="1:1" x14ac:dyDescent="0.25">
      <c r="A329" s="13"/>
    </row>
    <row r="330" spans="1:1" x14ac:dyDescent="0.25">
      <c r="A330" s="13"/>
    </row>
    <row r="331" spans="1:1" x14ac:dyDescent="0.25">
      <c r="A331" s="13"/>
    </row>
    <row r="332" spans="1:1" x14ac:dyDescent="0.25">
      <c r="A332" s="13"/>
    </row>
    <row r="333" spans="1:1" x14ac:dyDescent="0.25">
      <c r="A333" s="13"/>
    </row>
    <row r="334" spans="1:1" x14ac:dyDescent="0.25">
      <c r="A334" s="13"/>
    </row>
    <row r="335" spans="1:1" x14ac:dyDescent="0.25">
      <c r="A335" s="13"/>
    </row>
    <row r="336" spans="1:1" x14ac:dyDescent="0.25">
      <c r="A336" s="13"/>
    </row>
    <row r="337" spans="1:1" x14ac:dyDescent="0.25">
      <c r="A337" s="13"/>
    </row>
    <row r="338" spans="1:1" x14ac:dyDescent="0.25">
      <c r="A338" s="13"/>
    </row>
    <row r="339" spans="1:1" x14ac:dyDescent="0.25">
      <c r="A339" s="13"/>
    </row>
    <row r="340" spans="1:1" x14ac:dyDescent="0.25">
      <c r="A340" s="13"/>
    </row>
    <row r="341" spans="1:1" x14ac:dyDescent="0.25">
      <c r="A341" s="13"/>
    </row>
    <row r="342" spans="1:1" x14ac:dyDescent="0.25">
      <c r="A342" s="13"/>
    </row>
    <row r="343" spans="1:1" x14ac:dyDescent="0.25">
      <c r="A343" s="13"/>
    </row>
    <row r="344" spans="1:1" x14ac:dyDescent="0.25">
      <c r="A344" s="13"/>
    </row>
    <row r="345" spans="1:1" x14ac:dyDescent="0.25">
      <c r="A345" s="13"/>
    </row>
    <row r="346" spans="1:1" x14ac:dyDescent="0.25">
      <c r="A346" s="13"/>
    </row>
    <row r="347" spans="1:1" x14ac:dyDescent="0.25">
      <c r="A347" s="13"/>
    </row>
    <row r="348" spans="1:1" x14ac:dyDescent="0.25">
      <c r="A348" s="13"/>
    </row>
    <row r="349" spans="1:1" x14ac:dyDescent="0.25">
      <c r="A349" s="13"/>
    </row>
    <row r="350" spans="1:1" x14ac:dyDescent="0.25">
      <c r="A350" s="13"/>
    </row>
    <row r="351" spans="1:1" x14ac:dyDescent="0.25">
      <c r="A351" s="13"/>
    </row>
    <row r="352" spans="1:1" x14ac:dyDescent="0.25">
      <c r="A352" s="13"/>
    </row>
    <row r="353" spans="1:1" x14ac:dyDescent="0.25">
      <c r="A353" s="13"/>
    </row>
    <row r="354" spans="1:1" x14ac:dyDescent="0.25">
      <c r="A354" s="13"/>
    </row>
    <row r="355" spans="1:1" x14ac:dyDescent="0.25">
      <c r="A355" s="13"/>
    </row>
    <row r="356" spans="1:1" x14ac:dyDescent="0.25">
      <c r="A356" s="13"/>
    </row>
    <row r="357" spans="1:1" x14ac:dyDescent="0.25">
      <c r="A357" s="13"/>
    </row>
    <row r="358" spans="1:1" x14ac:dyDescent="0.25">
      <c r="A358" s="13"/>
    </row>
    <row r="359" spans="1:1" x14ac:dyDescent="0.25">
      <c r="A359" s="13"/>
    </row>
    <row r="360" spans="1:1" x14ac:dyDescent="0.25">
      <c r="A360" s="13"/>
    </row>
    <row r="361" spans="1:1" x14ac:dyDescent="0.25">
      <c r="A361" s="13"/>
    </row>
    <row r="362" spans="1:1" x14ac:dyDescent="0.25">
      <c r="A362" s="13"/>
    </row>
    <row r="363" spans="1:1" x14ac:dyDescent="0.25">
      <c r="A363" s="13"/>
    </row>
    <row r="364" spans="1:1" x14ac:dyDescent="0.25">
      <c r="A364" s="13"/>
    </row>
    <row r="365" spans="1:1" x14ac:dyDescent="0.25">
      <c r="A365" s="13"/>
    </row>
    <row r="366" spans="1:1" x14ac:dyDescent="0.25">
      <c r="A366" s="13"/>
    </row>
    <row r="367" spans="1:1" x14ac:dyDescent="0.25">
      <c r="A367" s="13"/>
    </row>
    <row r="368" spans="1:1" x14ac:dyDescent="0.25">
      <c r="A368" s="13"/>
    </row>
    <row r="369" spans="1:1" x14ac:dyDescent="0.25">
      <c r="A369" s="13"/>
    </row>
    <row r="370" spans="1:1" x14ac:dyDescent="0.25">
      <c r="A370" s="13"/>
    </row>
    <row r="371" spans="1:1" x14ac:dyDescent="0.25">
      <c r="A371" s="13"/>
    </row>
    <row r="372" spans="1:1" x14ac:dyDescent="0.25">
      <c r="A372" s="13"/>
    </row>
    <row r="373" spans="1:1" x14ac:dyDescent="0.25">
      <c r="A373" s="13"/>
    </row>
    <row r="374" spans="1:1" x14ac:dyDescent="0.25">
      <c r="A374" s="13"/>
    </row>
    <row r="375" spans="1:1" x14ac:dyDescent="0.25">
      <c r="A375" s="13"/>
    </row>
    <row r="376" spans="1:1" x14ac:dyDescent="0.25">
      <c r="A376" s="13"/>
    </row>
    <row r="377" spans="1:1" x14ac:dyDescent="0.25">
      <c r="A377" s="13"/>
    </row>
    <row r="378" spans="1:1" x14ac:dyDescent="0.25">
      <c r="A378" s="13"/>
    </row>
    <row r="379" spans="1:1" x14ac:dyDescent="0.25">
      <c r="A379" s="13"/>
    </row>
    <row r="380" spans="1:1" x14ac:dyDescent="0.25">
      <c r="A380" s="13"/>
    </row>
    <row r="381" spans="1:1" x14ac:dyDescent="0.25">
      <c r="A381" s="13"/>
    </row>
    <row r="382" spans="1:1" x14ac:dyDescent="0.25">
      <c r="A382" s="13"/>
    </row>
    <row r="383" spans="1:1" x14ac:dyDescent="0.25">
      <c r="A383" s="13"/>
    </row>
    <row r="384" spans="1:1" x14ac:dyDescent="0.25">
      <c r="A384" s="13"/>
    </row>
    <row r="385" spans="1:1" x14ac:dyDescent="0.25">
      <c r="A385" s="13"/>
    </row>
    <row r="386" spans="1:1" x14ac:dyDescent="0.25">
      <c r="A386" s="13"/>
    </row>
    <row r="387" spans="1:1" x14ac:dyDescent="0.25">
      <c r="A387" s="13"/>
    </row>
    <row r="388" spans="1:1" x14ac:dyDescent="0.25">
      <c r="A388" s="13"/>
    </row>
    <row r="389" spans="1:1" x14ac:dyDescent="0.25">
      <c r="A389" s="13"/>
    </row>
    <row r="390" spans="1:1" x14ac:dyDescent="0.25">
      <c r="A390" s="13"/>
    </row>
    <row r="391" spans="1:1" x14ac:dyDescent="0.25">
      <c r="A391" s="13"/>
    </row>
    <row r="392" spans="1:1" x14ac:dyDescent="0.25">
      <c r="A392" s="13"/>
    </row>
    <row r="393" spans="1:1" x14ac:dyDescent="0.25">
      <c r="A393" s="13"/>
    </row>
    <row r="394" spans="1:1" x14ac:dyDescent="0.25">
      <c r="A394" s="13"/>
    </row>
    <row r="395" spans="1:1" x14ac:dyDescent="0.25">
      <c r="A395" s="13"/>
    </row>
    <row r="396" spans="1:1" x14ac:dyDescent="0.25">
      <c r="A396" s="13"/>
    </row>
    <row r="397" spans="1:1" x14ac:dyDescent="0.25">
      <c r="A397" s="13"/>
    </row>
    <row r="398" spans="1:1" x14ac:dyDescent="0.25">
      <c r="A398" s="13"/>
    </row>
    <row r="399" spans="1:1" x14ac:dyDescent="0.25">
      <c r="A399" s="13"/>
    </row>
    <row r="400" spans="1:1" x14ac:dyDescent="0.25">
      <c r="A400" s="13"/>
    </row>
    <row r="401" spans="1:1" x14ac:dyDescent="0.25">
      <c r="A401" s="13"/>
    </row>
    <row r="402" spans="1:1" x14ac:dyDescent="0.25">
      <c r="A402" s="13"/>
    </row>
    <row r="403" spans="1:1" x14ac:dyDescent="0.25">
      <c r="A403" s="13"/>
    </row>
    <row r="404" spans="1:1" x14ac:dyDescent="0.25">
      <c r="A404" s="13"/>
    </row>
    <row r="405" spans="1:1" x14ac:dyDescent="0.25">
      <c r="A405" s="13"/>
    </row>
    <row r="406" spans="1:1" x14ac:dyDescent="0.25">
      <c r="A406" s="13"/>
    </row>
    <row r="407" spans="1:1" x14ac:dyDescent="0.25">
      <c r="A407" s="13"/>
    </row>
    <row r="408" spans="1:1" x14ac:dyDescent="0.25">
      <c r="A408" s="13"/>
    </row>
    <row r="409" spans="1:1" x14ac:dyDescent="0.25">
      <c r="A409" s="13"/>
    </row>
    <row r="410" spans="1:1" x14ac:dyDescent="0.25">
      <c r="A410" s="13"/>
    </row>
    <row r="411" spans="1:1" x14ac:dyDescent="0.25">
      <c r="A411" s="13"/>
    </row>
    <row r="412" spans="1:1" x14ac:dyDescent="0.25">
      <c r="A412" s="13"/>
    </row>
    <row r="413" spans="1:1" x14ac:dyDescent="0.25">
      <c r="A413" s="13"/>
    </row>
    <row r="414" spans="1:1" x14ac:dyDescent="0.25">
      <c r="A414" s="13"/>
    </row>
    <row r="415" spans="1:1" x14ac:dyDescent="0.25">
      <c r="A415" s="13"/>
    </row>
    <row r="416" spans="1:1" x14ac:dyDescent="0.25">
      <c r="A416" s="13"/>
    </row>
    <row r="417" spans="1:1" x14ac:dyDescent="0.25">
      <c r="A417" s="13"/>
    </row>
    <row r="418" spans="1:1" x14ac:dyDescent="0.25">
      <c r="A418" s="13"/>
    </row>
    <row r="419" spans="1:1" x14ac:dyDescent="0.25">
      <c r="A419" s="13"/>
    </row>
    <row r="420" spans="1:1" x14ac:dyDescent="0.25">
      <c r="A420" s="13"/>
    </row>
    <row r="421" spans="1:1" x14ac:dyDescent="0.25">
      <c r="A421" s="13"/>
    </row>
    <row r="422" spans="1:1" x14ac:dyDescent="0.25">
      <c r="A422" s="13"/>
    </row>
    <row r="423" spans="1:1" x14ac:dyDescent="0.25">
      <c r="A423" s="13"/>
    </row>
    <row r="424" spans="1:1" x14ac:dyDescent="0.25">
      <c r="A424" s="13"/>
    </row>
    <row r="425" spans="1:1" x14ac:dyDescent="0.25">
      <c r="A425" s="13"/>
    </row>
    <row r="426" spans="1:1" x14ac:dyDescent="0.25">
      <c r="A426" s="13"/>
    </row>
    <row r="427" spans="1:1" x14ac:dyDescent="0.25">
      <c r="A427" s="13"/>
    </row>
    <row r="428" spans="1:1" x14ac:dyDescent="0.25">
      <c r="A428" s="13"/>
    </row>
    <row r="429" spans="1:1" x14ac:dyDescent="0.25">
      <c r="A429" s="13"/>
    </row>
    <row r="430" spans="1:1" x14ac:dyDescent="0.25">
      <c r="A430" s="13"/>
    </row>
    <row r="431" spans="1:1" x14ac:dyDescent="0.25">
      <c r="A431" s="13"/>
    </row>
    <row r="432" spans="1:1" x14ac:dyDescent="0.25">
      <c r="A432" s="13"/>
    </row>
    <row r="433" spans="1:1" x14ac:dyDescent="0.25">
      <c r="A433" s="13"/>
    </row>
    <row r="434" spans="1:1" x14ac:dyDescent="0.25">
      <c r="A434" s="13"/>
    </row>
    <row r="435" spans="1:1" x14ac:dyDescent="0.25">
      <c r="A435" s="13"/>
    </row>
    <row r="436" spans="1:1" x14ac:dyDescent="0.25">
      <c r="A436" s="13"/>
    </row>
    <row r="437" spans="1:1" x14ac:dyDescent="0.25">
      <c r="A437" s="13"/>
    </row>
    <row r="438" spans="1:1" x14ac:dyDescent="0.25">
      <c r="A438" s="13"/>
    </row>
    <row r="439" spans="1:1" x14ac:dyDescent="0.25">
      <c r="A439" s="13"/>
    </row>
    <row r="440" spans="1:1" x14ac:dyDescent="0.25">
      <c r="A440" s="13"/>
    </row>
    <row r="441" spans="1:1" x14ac:dyDescent="0.25">
      <c r="A441" s="13"/>
    </row>
    <row r="442" spans="1:1" x14ac:dyDescent="0.25">
      <c r="A442" s="13"/>
    </row>
    <row r="443" spans="1:1" x14ac:dyDescent="0.25">
      <c r="A443" s="13"/>
    </row>
    <row r="444" spans="1:1" x14ac:dyDescent="0.25">
      <c r="A444" s="13"/>
    </row>
    <row r="445" spans="1:1" x14ac:dyDescent="0.25">
      <c r="A445" s="13"/>
    </row>
    <row r="446" spans="1:1" x14ac:dyDescent="0.25">
      <c r="A446" s="13"/>
    </row>
    <row r="447" spans="1:1" x14ac:dyDescent="0.25">
      <c r="A447" s="13"/>
    </row>
    <row r="448" spans="1:1" x14ac:dyDescent="0.25">
      <c r="A448" s="13"/>
    </row>
    <row r="449" spans="1:1" x14ac:dyDescent="0.25">
      <c r="A449" s="13"/>
    </row>
    <row r="450" spans="1:1" x14ac:dyDescent="0.25">
      <c r="A450" s="13"/>
    </row>
    <row r="451" spans="1:1" x14ac:dyDescent="0.25">
      <c r="A451" s="13"/>
    </row>
    <row r="452" spans="1:1" x14ac:dyDescent="0.25">
      <c r="A452" s="13"/>
    </row>
    <row r="453" spans="1:1" x14ac:dyDescent="0.25">
      <c r="A453" s="13"/>
    </row>
    <row r="454" spans="1:1" x14ac:dyDescent="0.25">
      <c r="A454" s="13"/>
    </row>
    <row r="455" spans="1:1" x14ac:dyDescent="0.25">
      <c r="A455" s="13"/>
    </row>
    <row r="456" spans="1:1" x14ac:dyDescent="0.25">
      <c r="A456" s="13"/>
    </row>
    <row r="457" spans="1:1" x14ac:dyDescent="0.25">
      <c r="A457" s="13"/>
    </row>
    <row r="458" spans="1:1" x14ac:dyDescent="0.25">
      <c r="A458" s="13"/>
    </row>
    <row r="459" spans="1:1" x14ac:dyDescent="0.25">
      <c r="A459" s="13"/>
    </row>
    <row r="460" spans="1:1" x14ac:dyDescent="0.25">
      <c r="A460" s="13"/>
    </row>
    <row r="461" spans="1:1" x14ac:dyDescent="0.25">
      <c r="A461" s="13"/>
    </row>
    <row r="462" spans="1:1" x14ac:dyDescent="0.25">
      <c r="A462" s="13"/>
    </row>
    <row r="463" spans="1:1" x14ac:dyDescent="0.25">
      <c r="A463" s="13"/>
    </row>
    <row r="464" spans="1:1" x14ac:dyDescent="0.25">
      <c r="A464" s="13"/>
    </row>
    <row r="465" spans="1:1" x14ac:dyDescent="0.25">
      <c r="A465" s="13"/>
    </row>
    <row r="466" spans="1:1" x14ac:dyDescent="0.25">
      <c r="A466" s="13"/>
    </row>
    <row r="467" spans="1:1" x14ac:dyDescent="0.25">
      <c r="A467" s="13"/>
    </row>
    <row r="468" spans="1:1" x14ac:dyDescent="0.25">
      <c r="A468" s="13"/>
    </row>
    <row r="469" spans="1:1" x14ac:dyDescent="0.25">
      <c r="A469" s="13"/>
    </row>
    <row r="470" spans="1:1" x14ac:dyDescent="0.25">
      <c r="A470" s="13"/>
    </row>
    <row r="471" spans="1:1" x14ac:dyDescent="0.25">
      <c r="A471" s="13"/>
    </row>
    <row r="472" spans="1:1" x14ac:dyDescent="0.25">
      <c r="A472" s="13"/>
    </row>
    <row r="473" spans="1:1" x14ac:dyDescent="0.25">
      <c r="A473" s="13"/>
    </row>
    <row r="474" spans="1:1" x14ac:dyDescent="0.25">
      <c r="A474" s="13"/>
    </row>
    <row r="475" spans="1:1" x14ac:dyDescent="0.25">
      <c r="A475" s="13"/>
    </row>
    <row r="476" spans="1:1" x14ac:dyDescent="0.25">
      <c r="A476" s="13"/>
    </row>
    <row r="477" spans="1:1" x14ac:dyDescent="0.25">
      <c r="A477" s="13"/>
    </row>
    <row r="478" spans="1:1" x14ac:dyDescent="0.25">
      <c r="A478" s="13"/>
    </row>
    <row r="479" spans="1:1" x14ac:dyDescent="0.25">
      <c r="A479" s="13"/>
    </row>
    <row r="480" spans="1:1" x14ac:dyDescent="0.25">
      <c r="A480" s="13"/>
    </row>
    <row r="481" spans="1:1" x14ac:dyDescent="0.25">
      <c r="A481" s="13"/>
    </row>
    <row r="482" spans="1:1" x14ac:dyDescent="0.25">
      <c r="A482" s="13"/>
    </row>
    <row r="483" spans="1:1" x14ac:dyDescent="0.25">
      <c r="A483" s="13"/>
    </row>
    <row r="484" spans="1:1" x14ac:dyDescent="0.25">
      <c r="A484" s="13"/>
    </row>
    <row r="485" spans="1:1" x14ac:dyDescent="0.25">
      <c r="A485" s="13"/>
    </row>
    <row r="486" spans="1:1" x14ac:dyDescent="0.25">
      <c r="A486" s="13"/>
    </row>
    <row r="487" spans="1:1" x14ac:dyDescent="0.25">
      <c r="A487" s="13"/>
    </row>
    <row r="488" spans="1:1" x14ac:dyDescent="0.25">
      <c r="A488" s="13"/>
    </row>
    <row r="489" spans="1:1" x14ac:dyDescent="0.25">
      <c r="A489" s="13"/>
    </row>
    <row r="490" spans="1:1" x14ac:dyDescent="0.25">
      <c r="A490" s="13"/>
    </row>
    <row r="491" spans="1:1" x14ac:dyDescent="0.25">
      <c r="A491" s="13"/>
    </row>
    <row r="492" spans="1:1" x14ac:dyDescent="0.25">
      <c r="A492" s="13"/>
    </row>
    <row r="493" spans="1:1" x14ac:dyDescent="0.25">
      <c r="A493" s="13"/>
    </row>
    <row r="494" spans="1:1" x14ac:dyDescent="0.25">
      <c r="A494" s="13"/>
    </row>
    <row r="495" spans="1:1" x14ac:dyDescent="0.25">
      <c r="A495" s="13"/>
    </row>
    <row r="496" spans="1:1" x14ac:dyDescent="0.25">
      <c r="A496" s="13"/>
    </row>
    <row r="497" spans="1:1" x14ac:dyDescent="0.25">
      <c r="A497" s="13"/>
    </row>
    <row r="498" spans="1:1" x14ac:dyDescent="0.25">
      <c r="A498" s="13"/>
    </row>
    <row r="499" spans="1:1" x14ac:dyDescent="0.25">
      <c r="A499" s="13"/>
    </row>
    <row r="500" spans="1:1" x14ac:dyDescent="0.25">
      <c r="A500" s="13"/>
    </row>
    <row r="501" spans="1:1" x14ac:dyDescent="0.25">
      <c r="A501" s="13"/>
    </row>
    <row r="502" spans="1:1" x14ac:dyDescent="0.25">
      <c r="A502" s="13"/>
    </row>
    <row r="503" spans="1:1" x14ac:dyDescent="0.25">
      <c r="A503" s="13"/>
    </row>
    <row r="504" spans="1:1" x14ac:dyDescent="0.25">
      <c r="A504" s="13"/>
    </row>
    <row r="505" spans="1:1" x14ac:dyDescent="0.25">
      <c r="A505" s="13"/>
    </row>
    <row r="506" spans="1:1" x14ac:dyDescent="0.25">
      <c r="A506" s="13"/>
    </row>
    <row r="507" spans="1:1" x14ac:dyDescent="0.25">
      <c r="A507" s="13"/>
    </row>
    <row r="508" spans="1:1" x14ac:dyDescent="0.25">
      <c r="A508" s="13"/>
    </row>
    <row r="509" spans="1:1" x14ac:dyDescent="0.25">
      <c r="A509" s="13"/>
    </row>
    <row r="510" spans="1:1" x14ac:dyDescent="0.25">
      <c r="A510" s="13"/>
    </row>
    <row r="511" spans="1:1" x14ac:dyDescent="0.25">
      <c r="A511" s="13"/>
    </row>
    <row r="512" spans="1:1" x14ac:dyDescent="0.25">
      <c r="A512" s="13"/>
    </row>
    <row r="513" spans="1:1" x14ac:dyDescent="0.25">
      <c r="A513" s="13"/>
    </row>
    <row r="514" spans="1:1" x14ac:dyDescent="0.25">
      <c r="A514" s="13"/>
    </row>
    <row r="515" spans="1:1" x14ac:dyDescent="0.25">
      <c r="A515" s="13"/>
    </row>
    <row r="516" spans="1:1" x14ac:dyDescent="0.25">
      <c r="A516" s="13"/>
    </row>
    <row r="517" spans="1:1" x14ac:dyDescent="0.25">
      <c r="A517" s="13"/>
    </row>
    <row r="518" spans="1:1" x14ac:dyDescent="0.25">
      <c r="A518" s="13"/>
    </row>
    <row r="519" spans="1:1" x14ac:dyDescent="0.25">
      <c r="A519" s="13"/>
    </row>
    <row r="520" spans="1:1" x14ac:dyDescent="0.25">
      <c r="A520" s="13"/>
    </row>
    <row r="521" spans="1:1" x14ac:dyDescent="0.25">
      <c r="A521" s="13"/>
    </row>
    <row r="522" spans="1:1" x14ac:dyDescent="0.25">
      <c r="A522" s="13"/>
    </row>
    <row r="523" spans="1:1" x14ac:dyDescent="0.25">
      <c r="A523" s="13"/>
    </row>
    <row r="524" spans="1:1" x14ac:dyDescent="0.25">
      <c r="A524" s="13"/>
    </row>
    <row r="525" spans="1:1" x14ac:dyDescent="0.25">
      <c r="A525" s="13"/>
    </row>
    <row r="526" spans="1:1" x14ac:dyDescent="0.25">
      <c r="A526" s="13"/>
    </row>
    <row r="527" spans="1:1" x14ac:dyDescent="0.25">
      <c r="A527" s="13"/>
    </row>
    <row r="528" spans="1:1" x14ac:dyDescent="0.25">
      <c r="A528" s="13"/>
    </row>
    <row r="529" spans="1:1" x14ac:dyDescent="0.25">
      <c r="A529" s="13"/>
    </row>
    <row r="530" spans="1:1" x14ac:dyDescent="0.25">
      <c r="A530" s="13"/>
    </row>
    <row r="531" spans="1:1" x14ac:dyDescent="0.25">
      <c r="A531" s="13"/>
    </row>
    <row r="532" spans="1:1" x14ac:dyDescent="0.25">
      <c r="A532" s="13"/>
    </row>
    <row r="533" spans="1:1" x14ac:dyDescent="0.25">
      <c r="A533" s="13"/>
    </row>
    <row r="534" spans="1:1" x14ac:dyDescent="0.25">
      <c r="A534" s="13"/>
    </row>
    <row r="535" spans="1:1" x14ac:dyDescent="0.25">
      <c r="A535" s="13"/>
    </row>
    <row r="536" spans="1:1" x14ac:dyDescent="0.25">
      <c r="A536" s="13"/>
    </row>
    <row r="537" spans="1:1" x14ac:dyDescent="0.25">
      <c r="A537" s="13"/>
    </row>
    <row r="538" spans="1:1" x14ac:dyDescent="0.25">
      <c r="A538" s="13"/>
    </row>
    <row r="539" spans="1:1" x14ac:dyDescent="0.25">
      <c r="A539" s="13"/>
    </row>
    <row r="540" spans="1:1" x14ac:dyDescent="0.25">
      <c r="A540" s="13"/>
    </row>
    <row r="541" spans="1:1" x14ac:dyDescent="0.25">
      <c r="A541" s="13"/>
    </row>
    <row r="542" spans="1:1" x14ac:dyDescent="0.25">
      <c r="A542" s="13"/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A1:C8"/>
  <sheetViews>
    <sheetView workbookViewId="0">
      <selection activeCell="C8" sqref="C8"/>
    </sheetView>
  </sheetViews>
  <sheetFormatPr defaultColWidth="8.85546875" defaultRowHeight="15" x14ac:dyDescent="0.25"/>
  <cols>
    <col min="1" max="1" width="22.140625" style="25" bestFit="1" customWidth="1"/>
    <col min="2" max="2" width="23.42578125" style="25" bestFit="1" customWidth="1"/>
    <col min="3" max="3" width="18.140625" style="25" bestFit="1" customWidth="1"/>
    <col min="4" max="4" width="22.7109375" style="25" bestFit="1" customWidth="1"/>
    <col min="5" max="16384" width="8.85546875" style="25"/>
  </cols>
  <sheetData>
    <row r="1" spans="1:3" x14ac:dyDescent="0.25">
      <c r="A1" s="11" t="s">
        <v>1</v>
      </c>
      <c r="B1" s="25" t="s">
        <v>2271</v>
      </c>
    </row>
    <row r="2" spans="1:3" x14ac:dyDescent="0.25">
      <c r="A2" s="11" t="s">
        <v>310</v>
      </c>
      <c r="B2" s="25" t="s">
        <v>2274</v>
      </c>
    </row>
    <row r="3" spans="1:3" x14ac:dyDescent="0.25">
      <c r="A3" s="11" t="s">
        <v>320</v>
      </c>
      <c r="B3" s="25">
        <f>MAXA(A7:A19)+1</f>
        <v>3</v>
      </c>
    </row>
    <row r="4" spans="1:3" x14ac:dyDescent="0.25">
      <c r="A4" s="11" t="s">
        <v>311</v>
      </c>
      <c r="C4" s="11" t="s">
        <v>483</v>
      </c>
    </row>
    <row r="6" spans="1:3" x14ac:dyDescent="0.25">
      <c r="A6" s="1" t="s">
        <v>2291</v>
      </c>
      <c r="B6" s="1" t="s">
        <v>2272</v>
      </c>
    </row>
    <row r="7" spans="1:3" x14ac:dyDescent="0.25">
      <c r="A7" s="25">
        <v>1</v>
      </c>
      <c r="B7" s="15" t="s">
        <v>2273</v>
      </c>
    </row>
    <row r="8" spans="1:3" x14ac:dyDescent="0.25">
      <c r="A8" s="25">
        <v>2</v>
      </c>
      <c r="B8" s="25" t="s">
        <v>2275</v>
      </c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A1:C19"/>
  <sheetViews>
    <sheetView workbookViewId="0">
      <selection activeCell="B6" sqref="B6"/>
    </sheetView>
  </sheetViews>
  <sheetFormatPr defaultColWidth="8.85546875" defaultRowHeight="15" x14ac:dyDescent="0.25"/>
  <cols>
    <col min="1" max="1" width="22.140625" style="25" bestFit="1" customWidth="1"/>
    <col min="2" max="2" width="23.42578125" style="25" bestFit="1" customWidth="1"/>
    <col min="3" max="3" width="18.140625" style="25" bestFit="1" customWidth="1"/>
    <col min="4" max="4" width="22.7109375" style="25" bestFit="1" customWidth="1"/>
    <col min="5" max="16384" width="8.85546875" style="25"/>
  </cols>
  <sheetData>
    <row r="1" spans="1:3" x14ac:dyDescent="0.25">
      <c r="A1" s="11" t="s">
        <v>1</v>
      </c>
      <c r="B1" s="25" t="s">
        <v>2293</v>
      </c>
    </row>
    <row r="2" spans="1:3" x14ac:dyDescent="0.25">
      <c r="A2" s="11" t="s">
        <v>310</v>
      </c>
      <c r="B2" s="25" t="s">
        <v>2277</v>
      </c>
    </row>
    <row r="3" spans="1:3" x14ac:dyDescent="0.25">
      <c r="A3" s="11" t="s">
        <v>320</v>
      </c>
      <c r="B3" s="25">
        <f>MAXA(A7:A130)+1</f>
        <v>14</v>
      </c>
    </row>
    <row r="4" spans="1:3" x14ac:dyDescent="0.25">
      <c r="A4" s="11" t="s">
        <v>311</v>
      </c>
      <c r="C4" s="11" t="s">
        <v>483</v>
      </c>
    </row>
    <row r="6" spans="1:3" x14ac:dyDescent="0.25">
      <c r="A6" s="1" t="s">
        <v>2292</v>
      </c>
      <c r="B6" s="1" t="s">
        <v>2294</v>
      </c>
    </row>
    <row r="7" spans="1:3" x14ac:dyDescent="0.25">
      <c r="A7" s="25">
        <v>1</v>
      </c>
      <c r="B7" s="15" t="s">
        <v>2278</v>
      </c>
    </row>
    <row r="8" spans="1:3" x14ac:dyDescent="0.25">
      <c r="A8" s="25">
        <f>A7+1</f>
        <v>2</v>
      </c>
      <c r="B8" s="25" t="s">
        <v>2279</v>
      </c>
    </row>
    <row r="9" spans="1:3" x14ac:dyDescent="0.25">
      <c r="A9" s="25">
        <f>A8+1</f>
        <v>3</v>
      </c>
      <c r="B9" s="25" t="s">
        <v>2280</v>
      </c>
    </row>
    <row r="10" spans="1:3" x14ac:dyDescent="0.25">
      <c r="A10" s="25">
        <f t="shared" ref="A10:A19" si="0">A9+1</f>
        <v>4</v>
      </c>
      <c r="B10" s="25" t="s">
        <v>2281</v>
      </c>
    </row>
    <row r="11" spans="1:3" x14ac:dyDescent="0.25">
      <c r="A11" s="25">
        <f t="shared" si="0"/>
        <v>5</v>
      </c>
      <c r="B11" s="25" t="s">
        <v>2282</v>
      </c>
    </row>
    <row r="12" spans="1:3" x14ac:dyDescent="0.25">
      <c r="A12" s="25">
        <f t="shared" si="0"/>
        <v>6</v>
      </c>
      <c r="B12" s="25" t="s">
        <v>2283</v>
      </c>
    </row>
    <row r="13" spans="1:3" x14ac:dyDescent="0.25">
      <c r="A13" s="25">
        <f t="shared" si="0"/>
        <v>7</v>
      </c>
      <c r="B13" s="25" t="s">
        <v>2284</v>
      </c>
    </row>
    <row r="14" spans="1:3" x14ac:dyDescent="0.25">
      <c r="A14" s="25">
        <f t="shared" si="0"/>
        <v>8</v>
      </c>
      <c r="B14" s="25" t="s">
        <v>2285</v>
      </c>
    </row>
    <row r="15" spans="1:3" x14ac:dyDescent="0.25">
      <c r="A15" s="25">
        <f t="shared" si="0"/>
        <v>9</v>
      </c>
      <c r="B15" s="25" t="s">
        <v>2286</v>
      </c>
    </row>
    <row r="16" spans="1:3" x14ac:dyDescent="0.25">
      <c r="A16" s="25">
        <f t="shared" si="0"/>
        <v>10</v>
      </c>
      <c r="B16" s="25" t="s">
        <v>2287</v>
      </c>
    </row>
    <row r="17" spans="1:2" x14ac:dyDescent="0.25">
      <c r="A17" s="25">
        <f t="shared" si="0"/>
        <v>11</v>
      </c>
      <c r="B17" s="25" t="s">
        <v>2288</v>
      </c>
    </row>
    <row r="18" spans="1:2" x14ac:dyDescent="0.25">
      <c r="A18" s="25">
        <f t="shared" si="0"/>
        <v>12</v>
      </c>
      <c r="B18" s="25" t="s">
        <v>2289</v>
      </c>
    </row>
    <row r="19" spans="1:2" x14ac:dyDescent="0.25">
      <c r="A19" s="25">
        <f t="shared" si="0"/>
        <v>13</v>
      </c>
      <c r="B19" s="25" t="s">
        <v>2290</v>
      </c>
    </row>
  </sheetData>
  <pageMargins left="0.511811024" right="0.511811024" top="0.78740157499999996" bottom="0.78740157499999996" header="0.31496062000000002" footer="0.31496062000000002"/>
  <pageSetup orientation="portrait" horizontalDpi="300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A1:E22"/>
  <sheetViews>
    <sheetView workbookViewId="0">
      <selection activeCell="E25" sqref="E25"/>
    </sheetView>
  </sheetViews>
  <sheetFormatPr defaultColWidth="8.85546875" defaultRowHeight="15" x14ac:dyDescent="0.25"/>
  <cols>
    <col min="1" max="1" width="22.140625" style="25" bestFit="1" customWidth="1"/>
    <col min="2" max="2" width="22.140625" style="25" customWidth="1"/>
    <col min="3" max="3" width="40.85546875" style="25" customWidth="1"/>
    <col min="4" max="4" width="22.7109375" style="25" bestFit="1" customWidth="1"/>
    <col min="5" max="5" width="36.5703125" style="25" customWidth="1"/>
    <col min="6" max="16384" width="8.85546875" style="25"/>
  </cols>
  <sheetData>
    <row r="1" spans="1:5" x14ac:dyDescent="0.25">
      <c r="A1" s="11" t="s">
        <v>1</v>
      </c>
      <c r="B1" s="25" t="s">
        <v>2276</v>
      </c>
    </row>
    <row r="2" spans="1:5" x14ac:dyDescent="0.25">
      <c r="A2" s="11" t="s">
        <v>310</v>
      </c>
      <c r="B2" s="25" t="s">
        <v>2295</v>
      </c>
    </row>
    <row r="3" spans="1:5" x14ac:dyDescent="0.25">
      <c r="A3" s="11" t="s">
        <v>320</v>
      </c>
      <c r="B3" s="25">
        <f>MAXA(A7:A126)+1</f>
        <v>17</v>
      </c>
    </row>
    <row r="4" spans="1:5" x14ac:dyDescent="0.25">
      <c r="A4" s="11" t="s">
        <v>311</v>
      </c>
      <c r="C4" s="11" t="s">
        <v>483</v>
      </c>
    </row>
    <row r="6" spans="1:5" x14ac:dyDescent="0.25">
      <c r="A6" s="1" t="s">
        <v>2296</v>
      </c>
      <c r="B6" s="1" t="s">
        <v>2291</v>
      </c>
      <c r="C6" s="1" t="s">
        <v>2297</v>
      </c>
      <c r="D6" s="1" t="s">
        <v>2292</v>
      </c>
      <c r="E6" s="1" t="s">
        <v>2298</v>
      </c>
    </row>
    <row r="7" spans="1:5" x14ac:dyDescent="0.25">
      <c r="A7" s="25">
        <v>1</v>
      </c>
      <c r="B7" s="25">
        <v>1</v>
      </c>
      <c r="C7" s="25" t="str">
        <f>VLOOKUP(B7,TB_FNX_TIPO_PROCESSO!$A$7:$B$27,2,FALSE)</f>
        <v>Autorização de Pagamento Avulso</v>
      </c>
      <c r="D7" s="25">
        <v>1</v>
      </c>
      <c r="E7" s="25" t="str">
        <f>VLOOKUP(D7,TB_FNX_TIPO_ROLE!$A$7:$B$28,2,FALSE)</f>
        <v>Líder de Projeto</v>
      </c>
    </row>
    <row r="8" spans="1:5" x14ac:dyDescent="0.25">
      <c r="A8" s="25">
        <f>A7+1</f>
        <v>2</v>
      </c>
      <c r="B8" s="25">
        <v>1</v>
      </c>
      <c r="C8" s="25" t="str">
        <f>VLOOKUP(B8,TB_FNX_TIPO_PROCESSO!$A$7:$B$27,2,FALSE)</f>
        <v>Autorização de Pagamento Avulso</v>
      </c>
      <c r="D8" s="25">
        <v>2</v>
      </c>
      <c r="E8" s="25" t="str">
        <f>VLOOKUP(D8,TB_FNX_TIPO_ROLE!$A$7:$B$28,2,FALSE)</f>
        <v>Coordenador de Unidade</v>
      </c>
    </row>
    <row r="9" spans="1:5" x14ac:dyDescent="0.25">
      <c r="A9" s="25">
        <f>A8+1</f>
        <v>3</v>
      </c>
      <c r="B9" s="25">
        <v>1</v>
      </c>
      <c r="C9" s="25" t="str">
        <f>VLOOKUP(B9,TB_FNX_TIPO_PROCESSO!$A$7:$B$27,2,FALSE)</f>
        <v>Autorização de Pagamento Avulso</v>
      </c>
      <c r="D9" s="25">
        <v>3</v>
      </c>
      <c r="E9" s="25" t="str">
        <f>VLOOKUP(D9,TB_FNX_TIPO_ROLE!$A$7:$B$28,2,FALSE)</f>
        <v>Analista de Conformidade</v>
      </c>
    </row>
    <row r="10" spans="1:5" x14ac:dyDescent="0.25">
      <c r="A10" s="25">
        <f t="shared" ref="A10:A22" si="0">A9+1</f>
        <v>4</v>
      </c>
      <c r="B10" s="25">
        <v>1</v>
      </c>
      <c r="C10" s="25" t="str">
        <f>VLOOKUP(B10,TB_FNX_TIPO_PROCESSO!$A$7:$B$27,2,FALSE)</f>
        <v>Autorização de Pagamento Avulso</v>
      </c>
      <c r="D10" s="25">
        <v>4</v>
      </c>
      <c r="E10" s="25" t="str">
        <f>VLOOKUP(D10,TB_FNX_TIPO_ROLE!$A$7:$B$28,2,FALSE)</f>
        <v>Controle de Conformidade</v>
      </c>
    </row>
    <row r="11" spans="1:5" x14ac:dyDescent="0.25">
      <c r="A11" s="25">
        <f t="shared" si="0"/>
        <v>5</v>
      </c>
      <c r="B11" s="25">
        <v>1</v>
      </c>
      <c r="C11" s="25" t="str">
        <f>VLOOKUP(B11,TB_FNX_TIPO_PROCESSO!$A$7:$B$27,2,FALSE)</f>
        <v>Autorização de Pagamento Avulso</v>
      </c>
      <c r="D11" s="25">
        <v>5</v>
      </c>
      <c r="E11" s="25" t="str">
        <f>VLOOKUP(D11,TB_FNX_TIPO_ROLE!$A$7:$B$28,2,FALSE)</f>
        <v>Gabinete DGC</v>
      </c>
    </row>
    <row r="12" spans="1:5" x14ac:dyDescent="0.25">
      <c r="A12" s="25">
        <f t="shared" si="0"/>
        <v>6</v>
      </c>
      <c r="B12" s="25">
        <v>1</v>
      </c>
      <c r="C12" s="25" t="str">
        <f>VLOOKUP(B12,TB_FNX_TIPO_PROCESSO!$A$7:$B$27,2,FALSE)</f>
        <v>Autorização de Pagamento Avulso</v>
      </c>
      <c r="D12" s="25">
        <v>6</v>
      </c>
      <c r="E12" s="25" t="str">
        <f>VLOOKUP(D12,TB_FNX_TIPO_ROLE!$A$7:$B$28,2,FALSE)</f>
        <v>Ordenador de Despesas</v>
      </c>
    </row>
    <row r="13" spans="1:5" x14ac:dyDescent="0.25">
      <c r="A13" s="25">
        <f t="shared" si="0"/>
        <v>7</v>
      </c>
      <c r="B13" s="25">
        <v>1</v>
      </c>
      <c r="C13" s="25" t="str">
        <f>VLOOKUP(B13,TB_FNX_TIPO_PROCESSO!$A$7:$B$27,2,FALSE)</f>
        <v>Autorização de Pagamento Avulso</v>
      </c>
      <c r="D13" s="25">
        <v>7</v>
      </c>
      <c r="E13" s="25" t="str">
        <f>VLOOKUP(D13,TB_FNX_TIPO_ROLE!$A$7:$B$28,2,FALSE)</f>
        <v>Equipe NASC</v>
      </c>
    </row>
    <row r="14" spans="1:5" x14ac:dyDescent="0.25">
      <c r="A14" s="25">
        <f>A13+1</f>
        <v>8</v>
      </c>
      <c r="B14" s="25">
        <v>2</v>
      </c>
      <c r="C14" s="25" t="str">
        <f>VLOOKUP(B14,TB_FNX_TIPO_PROCESSO!$A$7:$B$27,2,FALSE)</f>
        <v>Autorização de Pagamento de Desembolso</v>
      </c>
      <c r="D14" s="25">
        <v>8</v>
      </c>
      <c r="E14" s="25" t="str">
        <f>VLOOKUP(D14,TB_FNX_TIPO_ROLE!$A$7:$B$28,2,FALSE)</f>
        <v>Gestor do Projeto</v>
      </c>
    </row>
    <row r="15" spans="1:5" x14ac:dyDescent="0.25">
      <c r="A15" s="25">
        <f t="shared" si="0"/>
        <v>9</v>
      </c>
      <c r="B15" s="25">
        <v>2</v>
      </c>
      <c r="C15" s="25" t="str">
        <f>VLOOKUP(B15,TB_FNX_TIPO_PROCESSO!$A$7:$B$27,2,FALSE)</f>
        <v>Autorização de Pagamento de Desembolso</v>
      </c>
      <c r="D15" s="25">
        <v>12</v>
      </c>
      <c r="E15" s="25" t="str">
        <f>VLOOKUP(D15,TB_FNX_TIPO_ROLE!$A$7:$B$28,2,FALSE)</f>
        <v>Responsável Alçada</v>
      </c>
    </row>
    <row r="16" spans="1:5" x14ac:dyDescent="0.25">
      <c r="A16" s="25">
        <f t="shared" si="0"/>
        <v>10</v>
      </c>
      <c r="B16" s="25">
        <v>2</v>
      </c>
      <c r="C16" s="25" t="str">
        <f>VLOOKUP(B16,TB_FNX_TIPO_PROCESSO!$A$7:$B$27,2,FALSE)</f>
        <v>Autorização de Pagamento de Desembolso</v>
      </c>
      <c r="D16" s="25">
        <v>3</v>
      </c>
      <c r="E16" s="25" t="str">
        <f>VLOOKUP(D16,TB_FNX_TIPO_ROLE!$A$7:$B$28,2,FALSE)</f>
        <v>Analista de Conformidade</v>
      </c>
    </row>
    <row r="17" spans="1:5" x14ac:dyDescent="0.25">
      <c r="A17" s="25">
        <f t="shared" si="0"/>
        <v>11</v>
      </c>
      <c r="B17" s="25">
        <v>2</v>
      </c>
      <c r="C17" s="25" t="str">
        <f>VLOOKUP(B17,TB_FNX_TIPO_PROCESSO!$A$7:$B$27,2,FALSE)</f>
        <v>Autorização de Pagamento de Desembolso</v>
      </c>
      <c r="D17" s="25">
        <v>4</v>
      </c>
      <c r="E17" s="25" t="str">
        <f>VLOOKUP(D17,TB_FNX_TIPO_ROLE!$A$7:$B$28,2,FALSE)</f>
        <v>Controle de Conformidade</v>
      </c>
    </row>
    <row r="18" spans="1:5" x14ac:dyDescent="0.25">
      <c r="A18" s="25">
        <f t="shared" si="0"/>
        <v>12</v>
      </c>
      <c r="B18" s="25">
        <v>2</v>
      </c>
      <c r="C18" s="25" t="str">
        <f>VLOOKUP(B18,TB_FNX_TIPO_PROCESSO!$A$7:$B$27,2,FALSE)</f>
        <v>Autorização de Pagamento de Desembolso</v>
      </c>
      <c r="D18" s="25">
        <v>5</v>
      </c>
      <c r="E18" s="25" t="str">
        <f>VLOOKUP(D18,TB_FNX_TIPO_ROLE!$A$7:$B$28,2,FALSE)</f>
        <v>Gabinete DGC</v>
      </c>
    </row>
    <row r="19" spans="1:5" x14ac:dyDescent="0.25">
      <c r="A19" s="25">
        <f t="shared" si="0"/>
        <v>13</v>
      </c>
      <c r="B19" s="25">
        <v>2</v>
      </c>
      <c r="C19" s="25" t="str">
        <f>VLOOKUP(B19,TB_FNX_TIPO_PROCESSO!$A$7:$B$27,2,FALSE)</f>
        <v>Autorização de Pagamento de Desembolso</v>
      </c>
      <c r="D19" s="25">
        <v>13</v>
      </c>
      <c r="E19" s="25" t="str">
        <f>VLOOKUP(D19,TB_FNX_TIPO_ROLE!$A$7:$B$28,2,FALSE)</f>
        <v>Gabinetes (DGC-DN-PR)</v>
      </c>
    </row>
    <row r="20" spans="1:5" x14ac:dyDescent="0.25">
      <c r="A20" s="25">
        <f t="shared" si="0"/>
        <v>14</v>
      </c>
      <c r="B20" s="25">
        <v>2</v>
      </c>
      <c r="C20" s="25" t="str">
        <f>VLOOKUP(B20,TB_FNX_TIPO_PROCESSO!$A$7:$B$27,2,FALSE)</f>
        <v>Autorização de Pagamento de Desembolso</v>
      </c>
      <c r="D20" s="25">
        <v>7</v>
      </c>
      <c r="E20" s="25" t="str">
        <f>VLOOKUP(D20,TB_FNX_TIPO_ROLE!$A$7:$B$28,2,FALSE)</f>
        <v>Equipe NASC</v>
      </c>
    </row>
    <row r="21" spans="1:5" x14ac:dyDescent="0.25">
      <c r="A21" s="25">
        <f t="shared" si="0"/>
        <v>15</v>
      </c>
      <c r="B21" s="25">
        <v>1</v>
      </c>
      <c r="C21" s="25" t="str">
        <f>VLOOKUP(B21,TB_FNX_TIPO_PROCESSO!$A$7:$B$27,2,FALSE)</f>
        <v>Autorização de Pagamento Avulso</v>
      </c>
      <c r="D21" s="25">
        <v>12</v>
      </c>
      <c r="E21" s="25" t="str">
        <f>VLOOKUP(D21,TB_FNX_TIPO_ROLE!$A$7:$B$28,2,FALSE)</f>
        <v>Responsável Alçada</v>
      </c>
    </row>
    <row r="22" spans="1:5" x14ac:dyDescent="0.25">
      <c r="A22" s="25">
        <f t="shared" si="0"/>
        <v>16</v>
      </c>
      <c r="B22" s="25">
        <v>1</v>
      </c>
      <c r="C22" s="25" t="str">
        <f>VLOOKUP(B22,TB_FNX_TIPO_PROCESSO!$A$7:$B$27,2,FALSE)</f>
        <v>Autorização de Pagamento Avulso</v>
      </c>
      <c r="D22" s="25">
        <v>13</v>
      </c>
      <c r="E22" s="25" t="str">
        <f>VLOOKUP(D22,TB_FNX_TIPO_ROLE!$A$7:$B$28,2,FALSE)</f>
        <v>Gabinetes (DGC-DN-PR)</v>
      </c>
    </row>
  </sheetData>
  <pageMargins left="0.511811024" right="0.511811024" top="0.78740157499999996" bottom="0.78740157499999996" header="0.31496062000000002" footer="0.31496062000000002"/>
  <pageSetup orientation="portrait" horizont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Indice</vt:lpstr>
      <vt:lpstr>TB_ICO_TIPO_ALCADA</vt:lpstr>
      <vt:lpstr>TB_ICO_HIERARQUIA_UN_DELEGADA</vt:lpstr>
      <vt:lpstr>TB_ICO_SISTEMA</vt:lpstr>
      <vt:lpstr>TB_ICO_SISTEMA_PERFIL</vt:lpstr>
      <vt:lpstr>TB_ICO_TIPO_RECURSO_PROTEGIDO</vt:lpstr>
      <vt:lpstr>TB_ICO_NIVEL_HIERARQUICO</vt:lpstr>
      <vt:lpstr>TB_ICO_RECURSO_PROTEGIDO</vt:lpstr>
      <vt:lpstr>TB_SGP_STATUS_ACAO</vt:lpstr>
      <vt:lpstr>TB_FNX_PARAM_SISTEMA</vt:lpstr>
      <vt:lpstr>TB_FNX_STATUS_PREST_CONTA</vt:lpstr>
      <vt:lpstr>TB_FNX_TIPO_MENSAGEM</vt:lpstr>
      <vt:lpstr>TB_FNX_TIPO_RESOURCE_BUNDLE</vt:lpstr>
      <vt:lpstr>TB_FNX_MENSAGEM</vt:lpstr>
      <vt:lpstr>TB_FNX_RESOURCE_BUNDLE</vt:lpstr>
      <vt:lpstr>TB_SGP_STATUS_PAGAMENTO</vt:lpstr>
      <vt:lpstr>TB_FNX_STATUS_DESEMP_PROJETO</vt:lpstr>
      <vt:lpstr>TB_FNX_TIPO_PROCESSO</vt:lpstr>
      <vt:lpstr>TB_FNX_TIPO_ROLE</vt:lpstr>
      <vt:lpstr>TB_FNX_PROCESSO_ROLE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2014-12-29T11:58:30Z</dcterms:modified>
</cp:coreProperties>
</file>